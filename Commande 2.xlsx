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Q:\Partages\Cantine scolaire\1. Commande de repas\Année scolaire 2019-2020\1 TERRITOIRE TECHNIQUE CENTRE\CLAUS MATERNELLE\2 Octobre 2019\"/>
    </mc:Choice>
  </mc:AlternateContent>
  <workbookProtection workbookAlgorithmName="SHA-512" workbookHashValue="YouiGCY/Lb28zpvd1SJ7UbQkoyC0QDlzkYx6SyJdXposgs+2ZSf5JPvVmWnknBRd160wSlkC4xgFSIYp/si51A==" workbookSaltValue="mVfJN7YTe45kHnXaxmFlqQ==" workbookSpinCount="100000" lockStructure="1"/>
  <bookViews>
    <workbookView xWindow="0" yWindow="0" windowWidth="19200" windowHeight="10692" tabRatio="799" activeTab="2"/>
  </bookViews>
  <sheets>
    <sheet name="Lundi" sheetId="5" r:id="rId1"/>
    <sheet name="Mardi" sheetId="6" r:id="rId2"/>
    <sheet name="Jeudi" sheetId="7" r:id="rId3"/>
    <sheet name="Vendredi" sheetId="8" r:id="rId4"/>
    <sheet name="Commande ADR" sheetId="2" r:id="rId5"/>
    <sheet name="Suivi facturation" sheetId="9" r:id="rId6"/>
  </sheets>
  <definedNames>
    <definedName name="_xlnm.Print_Area" localSheetId="4">'Commande ADR'!$A$1:$I$26</definedName>
    <definedName name="_xlnm.Print_Area" localSheetId="2">Jeudi!$A$1:$G$29</definedName>
    <definedName name="_xlnm.Print_Area" localSheetId="0">Lundi!$A$1:$G$29</definedName>
    <definedName name="_xlnm.Print_Area" localSheetId="1">Mardi!$A$1:$G$28</definedName>
    <definedName name="_xlnm.Print_Area" localSheetId="3">Vendredi!$A$1:$G$29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1" i="8" l="1"/>
  <c r="D11" i="7"/>
  <c r="D11" i="5"/>
  <c r="D11" i="6"/>
  <c r="D4" i="9" l="1"/>
  <c r="D5" i="9"/>
  <c r="D30" i="9" l="1"/>
  <c r="F30" i="9"/>
  <c r="H30" i="9"/>
  <c r="D33" i="9"/>
  <c r="F33" i="9"/>
  <c r="H33" i="9"/>
  <c r="B33" i="9"/>
  <c r="D31" i="9"/>
  <c r="F31" i="9"/>
  <c r="H31" i="9"/>
  <c r="B31" i="9"/>
  <c r="F24" i="9"/>
  <c r="D22" i="9"/>
  <c r="F22" i="9"/>
  <c r="B22" i="9"/>
  <c r="C20" i="8" l="1"/>
  <c r="D20" i="8"/>
  <c r="E20" i="8"/>
  <c r="B20" i="8"/>
  <c r="E11" i="8"/>
  <c r="H14" i="2" s="1"/>
  <c r="H24" i="9" s="1"/>
  <c r="C11" i="8"/>
  <c r="H12" i="2" s="1"/>
  <c r="H22" i="9" s="1"/>
  <c r="B11" i="8"/>
  <c r="G10" i="8"/>
  <c r="C20" i="7"/>
  <c r="D20" i="7"/>
  <c r="E20" i="7"/>
  <c r="B20" i="7"/>
  <c r="E11" i="7"/>
  <c r="F14" i="2" s="1"/>
  <c r="C11" i="7"/>
  <c r="F12" i="2" s="1"/>
  <c r="B11" i="7"/>
  <c r="E20" i="6"/>
  <c r="D20" i="6"/>
  <c r="C20" i="6"/>
  <c r="B20" i="6"/>
  <c r="E11" i="6"/>
  <c r="D14" i="2" s="1"/>
  <c r="D24" i="9" s="1"/>
  <c r="C11" i="6"/>
  <c r="D12" i="2" s="1"/>
  <c r="B11" i="6"/>
  <c r="G10" i="7"/>
  <c r="G10" i="6"/>
  <c r="D20" i="5"/>
  <c r="E20" i="5"/>
  <c r="C20" i="5"/>
  <c r="B20" i="5"/>
  <c r="G19" i="5"/>
  <c r="G10" i="5"/>
  <c r="F11" i="5"/>
  <c r="E11" i="5"/>
  <c r="C11" i="5"/>
  <c r="B12" i="2" s="1"/>
  <c r="B11" i="5"/>
  <c r="H11" i="2" l="1"/>
  <c r="H21" i="9" s="1"/>
  <c r="G20" i="8"/>
  <c r="G20" i="7"/>
  <c r="F11" i="2"/>
  <c r="D11" i="2"/>
  <c r="D21" i="9" s="1"/>
  <c r="G20" i="5"/>
  <c r="B14" i="2"/>
  <c r="B24" i="9" s="1"/>
  <c r="B13" i="2"/>
  <c r="B23" i="9" s="1"/>
  <c r="B11" i="2"/>
  <c r="G11" i="5"/>
  <c r="B21" i="9" l="1"/>
  <c r="B25" i="9" s="1"/>
  <c r="G18" i="5"/>
  <c r="G17" i="5"/>
  <c r="G18" i="6"/>
  <c r="G17" i="6"/>
  <c r="G18" i="7"/>
  <c r="G17" i="7"/>
  <c r="G18" i="8"/>
  <c r="G17" i="8"/>
  <c r="G16" i="8"/>
  <c r="G16" i="7"/>
  <c r="G16" i="6"/>
  <c r="F11" i="7" l="1"/>
  <c r="G9" i="7"/>
  <c r="G8" i="7"/>
  <c r="D13" i="2"/>
  <c r="F11" i="6"/>
  <c r="G9" i="6"/>
  <c r="G8" i="6"/>
  <c r="G20" i="6"/>
  <c r="G16" i="5"/>
  <c r="G9" i="5"/>
  <c r="G8" i="5"/>
  <c r="G9" i="8"/>
  <c r="G8" i="8"/>
  <c r="F11" i="8"/>
  <c r="G7" i="8"/>
  <c r="G7" i="7"/>
  <c r="B27" i="7"/>
  <c r="F22" i="2" s="1"/>
  <c r="E27" i="8"/>
  <c r="H25" i="2" s="1"/>
  <c r="D27" i="8"/>
  <c r="H24" i="2" s="1"/>
  <c r="H32" i="9" s="1"/>
  <c r="H34" i="9" s="1"/>
  <c r="C27" i="8"/>
  <c r="H23" i="2" s="1"/>
  <c r="B27" i="8"/>
  <c r="H22" i="2" s="1"/>
  <c r="F26" i="8"/>
  <c r="E27" i="7"/>
  <c r="F25" i="2" s="1"/>
  <c r="D27" i="7"/>
  <c r="F24" i="2" s="1"/>
  <c r="F32" i="9" s="1"/>
  <c r="F34" i="9" s="1"/>
  <c r="C27" i="7"/>
  <c r="F23" i="2" s="1"/>
  <c r="F26" i="7"/>
  <c r="E26" i="6"/>
  <c r="D25" i="2" s="1"/>
  <c r="D26" i="6"/>
  <c r="D24" i="2" s="1"/>
  <c r="D32" i="9" s="1"/>
  <c r="D34" i="9" s="1"/>
  <c r="C26" i="6"/>
  <c r="D23" i="2" s="1"/>
  <c r="B26" i="6"/>
  <c r="D22" i="2" s="1"/>
  <c r="F25" i="6"/>
  <c r="G7" i="6"/>
  <c r="C26" i="5"/>
  <c r="B23" i="2" s="1"/>
  <c r="D26" i="5"/>
  <c r="B24" i="2" s="1"/>
  <c r="B32" i="9" s="1"/>
  <c r="E26" i="5"/>
  <c r="B25" i="2" s="1"/>
  <c r="B26" i="5"/>
  <c r="B22" i="2" s="1"/>
  <c r="B30" i="9" s="1"/>
  <c r="F25" i="5"/>
  <c r="G7" i="5"/>
  <c r="D23" i="9" l="1"/>
  <c r="D25" i="9" s="1"/>
  <c r="D15" i="2"/>
  <c r="B34" i="9"/>
  <c r="H26" i="2"/>
  <c r="F26" i="2"/>
  <c r="D26" i="2"/>
  <c r="B26" i="2"/>
  <c r="H13" i="2"/>
  <c r="G11" i="8"/>
  <c r="F13" i="2"/>
  <c r="F21" i="9" s="1"/>
  <c r="G11" i="7"/>
  <c r="G11" i="6"/>
  <c r="F27" i="7"/>
  <c r="F27" i="8"/>
  <c r="F26" i="5"/>
  <c r="B15" i="2"/>
  <c r="F26" i="6"/>
  <c r="H15" i="2" l="1"/>
  <c r="H23" i="9"/>
  <c r="H25" i="9" s="1"/>
  <c r="F15" i="2"/>
  <c r="F23" i="9"/>
  <c r="F25" i="9" s="1"/>
</calcChain>
</file>

<file path=xl/sharedStrings.xml><?xml version="1.0" encoding="utf-8"?>
<sst xmlns="http://schemas.openxmlformats.org/spreadsheetml/2006/main" count="208" uniqueCount="52">
  <si>
    <t>Fiche de gestion quotidienne des repas</t>
  </si>
  <si>
    <t>Maternelle</t>
  </si>
  <si>
    <t>Total</t>
  </si>
  <si>
    <t>St</t>
  </si>
  <si>
    <t>Sp</t>
  </si>
  <si>
    <t>V</t>
  </si>
  <si>
    <t>H</t>
  </si>
  <si>
    <t>Ss total</t>
  </si>
  <si>
    <t>Rouge : extraction de Concerto</t>
  </si>
  <si>
    <t>Panier Repas</t>
  </si>
  <si>
    <t>TOTAL</t>
  </si>
  <si>
    <t>Repas supplémentaires</t>
  </si>
  <si>
    <t>Lundi</t>
  </si>
  <si>
    <t>Mardi</t>
  </si>
  <si>
    <t>Jeudi</t>
  </si>
  <si>
    <t>Vendredi</t>
  </si>
  <si>
    <t>Repas solidaires</t>
  </si>
  <si>
    <t>Enfants</t>
  </si>
  <si>
    <t>Adultes</t>
  </si>
  <si>
    <t xml:space="preserve">Standard </t>
  </si>
  <si>
    <t>Sans porc</t>
  </si>
  <si>
    <t>Végétarien</t>
  </si>
  <si>
    <t>Halal</t>
  </si>
  <si>
    <t>Standard</t>
  </si>
  <si>
    <r>
      <t xml:space="preserve">Repas enfants 
</t>
    </r>
    <r>
      <rPr>
        <b/>
        <sz val="11"/>
        <color theme="1"/>
        <rFont val="Calibri"/>
        <family val="2"/>
        <scheme val="minor"/>
      </rPr>
      <t>à déduire</t>
    </r>
    <r>
      <rPr>
        <sz val="11"/>
        <color theme="1"/>
        <rFont val="Calibri"/>
        <family val="2"/>
        <scheme val="minor"/>
      </rPr>
      <t xml:space="preserve"> (déplacement)</t>
    </r>
  </si>
  <si>
    <r>
      <t xml:space="preserve">Repas encadrement </t>
    </r>
    <r>
      <rPr>
        <b/>
        <sz val="11"/>
        <color theme="1"/>
        <rFont val="Calibri"/>
        <family val="2"/>
        <scheme val="minor"/>
      </rPr>
      <t xml:space="preserve">à déduire </t>
    </r>
    <r>
      <rPr>
        <sz val="11"/>
        <color theme="1"/>
        <rFont val="Calibri"/>
        <family val="2"/>
        <scheme val="minor"/>
      </rPr>
      <t>(déplacement)</t>
    </r>
  </si>
  <si>
    <t>Enfants avec réservation + Enfants Org. Avec réservation</t>
  </si>
  <si>
    <t>AR</t>
  </si>
  <si>
    <t>Encadrement</t>
  </si>
  <si>
    <t>Invités (adultes gratuits)</t>
  </si>
  <si>
    <t xml:space="preserve">Adultes payants (parent élu, enseignant) maternelle ou élementaire :  parts individuelles </t>
  </si>
  <si>
    <t xml:space="preserve">RESTAURANT SCOLAIRE : </t>
  </si>
  <si>
    <t xml:space="preserve">Date : </t>
  </si>
  <si>
    <t>Enseignants + parents élus</t>
  </si>
  <si>
    <t>Période : semaine du</t>
  </si>
  <si>
    <t>au</t>
  </si>
  <si>
    <r>
      <t xml:space="preserve">Encadrement mat + AR </t>
    </r>
    <r>
      <rPr>
        <b/>
        <u/>
        <sz val="12"/>
        <color theme="1"/>
        <rFont val="Calibri"/>
        <family val="2"/>
        <scheme val="minor"/>
      </rPr>
      <t xml:space="preserve">+ invités gratuits : parts individuelles </t>
    </r>
  </si>
  <si>
    <t>Adultes gratuits (AR, encadrement mat, invité mat) et payants (enseignant, parent élu) : parts individuelles</t>
  </si>
  <si>
    <t>Menus</t>
  </si>
  <si>
    <t>Types de menus</t>
  </si>
  <si>
    <t>Jours</t>
  </si>
  <si>
    <t xml:space="preserve">NOM de l'agent : </t>
  </si>
  <si>
    <t>Suivi facturation - Livrepas</t>
  </si>
  <si>
    <t xml:space="preserve">Légende : </t>
  </si>
  <si>
    <t>Menu unique pour tous (standard)</t>
  </si>
  <si>
    <t>Menus Standard + Sans porc + Halal + Végé</t>
  </si>
  <si>
    <r>
      <rPr>
        <b/>
        <sz val="20"/>
        <color theme="1"/>
        <rFont val="Calibri"/>
        <family val="2"/>
        <scheme val="minor"/>
      </rPr>
      <t>Fiche de commande de repas</t>
    </r>
    <r>
      <rPr>
        <b/>
        <sz val="18"/>
        <color theme="1"/>
        <rFont val="Calibri"/>
        <family val="2"/>
        <scheme val="minor"/>
      </rPr>
      <t xml:space="preserve"> </t>
    </r>
    <r>
      <rPr>
        <b/>
        <sz val="12"/>
        <color theme="1"/>
        <rFont val="Calibri"/>
        <family val="2"/>
        <scheme val="minor"/>
      </rPr>
      <t xml:space="preserve">
A envoyer à l'adresse mail : valerie.schmidt@alsaciennederestauration.fr</t>
    </r>
  </si>
  <si>
    <t>Menus Standard + Halal + Végé (Sans Porc identique au Standard)</t>
  </si>
  <si>
    <t>Menus Standard + Végé  (Halal + Sans Porc identiques au Standard)</t>
  </si>
  <si>
    <t>Maternelle Claus</t>
  </si>
  <si>
    <t>Camille Claus</t>
  </si>
  <si>
    <t>KAVAY William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</si>
</sst>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7030A0"/>
      <name val="Calibri"/>
      <family val="2"/>
      <scheme val="minor"/>
    </font>
    <font>
      <sz val="9"/>
      <color rgb="FF7030A0"/>
      <name val="Calibri"/>
      <family val="2"/>
      <scheme val="minor"/>
    </font>
    <font>
      <sz val="12"/>
      <color rgb="FF7030A0"/>
      <name val="Calibri"/>
      <family val="2"/>
      <scheme val="minor"/>
    </font>
    <font>
      <b/>
      <u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u/>
      <sz val="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</borders>
  <cellStyleXfs count="1">
    <xf numFmtId="0" fontId="0" fillId="0" borderId="0"/>
  </cellStyleXfs>
  <cellXfs count="111">
    <xf numFmtId="0" fontId="0" fillId="0" borderId="0" xfId="0"/>
    <xf numFmtId="0" fontId="0" fillId="0" borderId="1" xfId="0" applyBorder="1" applyAlignment="1">
      <alignment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0" borderId="0" xfId="0" applyFont="1"/>
    <xf numFmtId="0" fontId="0" fillId="3" borderId="1" xfId="0" applyFill="1" applyBorder="1" applyAlignment="1">
      <alignment vertical="center"/>
    </xf>
    <xf numFmtId="0" fontId="0" fillId="0" borderId="0" xfId="0" applyBorder="1"/>
    <xf numFmtId="0" fontId="0" fillId="0" borderId="1" xfId="0" applyBorder="1" applyAlignment="1" applyProtection="1">
      <alignment horizontal="center" vertical="center"/>
    </xf>
    <xf numFmtId="0" fontId="1" fillId="0" borderId="0" xfId="0" applyFont="1"/>
    <xf numFmtId="0" fontId="0" fillId="4" borderId="1" xfId="0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7" fillId="0" borderId="0" xfId="0" applyFont="1"/>
    <xf numFmtId="0" fontId="0" fillId="0" borderId="1" xfId="0" applyFont="1" applyBorder="1" applyAlignment="1">
      <alignment horizontal="left" vertical="center" wrapText="1"/>
    </xf>
    <xf numFmtId="0" fontId="0" fillId="0" borderId="0" xfId="0" applyFont="1"/>
    <xf numFmtId="0" fontId="0" fillId="0" borderId="1" xfId="0" applyFont="1" applyBorder="1" applyAlignment="1">
      <alignment horizontal="center" vertical="center"/>
    </xf>
    <xf numFmtId="0" fontId="0" fillId="4" borderId="1" xfId="0" applyFont="1" applyFill="1" applyBorder="1" applyAlignment="1">
      <alignment horizontal="center" vertical="center"/>
    </xf>
    <xf numFmtId="0" fontId="0" fillId="5" borderId="1" xfId="0" applyFont="1" applyFill="1" applyBorder="1" applyAlignment="1">
      <alignment horizontal="center" vertical="center"/>
    </xf>
    <xf numFmtId="0" fontId="0" fillId="3" borderId="1" xfId="0" applyFont="1" applyFill="1" applyBorder="1" applyAlignment="1">
      <alignment horizontal="left" vertical="center"/>
    </xf>
    <xf numFmtId="0" fontId="8" fillId="0" borderId="0" xfId="0" applyFont="1" applyAlignment="1">
      <alignment wrapText="1"/>
    </xf>
    <xf numFmtId="0" fontId="0" fillId="0" borderId="0" xfId="0" applyAlignment="1">
      <alignment wrapText="1"/>
    </xf>
    <xf numFmtId="0" fontId="10" fillId="0" borderId="0" xfId="0" applyFont="1" applyAlignment="1">
      <alignment wrapText="1"/>
    </xf>
    <xf numFmtId="0" fontId="0" fillId="3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left" vertical="center"/>
    </xf>
    <xf numFmtId="0" fontId="6" fillId="0" borderId="0" xfId="0" applyFont="1" applyAlignment="1">
      <alignment vertical="center"/>
    </xf>
    <xf numFmtId="0" fontId="11" fillId="0" borderId="0" xfId="0" applyFont="1"/>
    <xf numFmtId="0" fontId="3" fillId="0" borderId="0" xfId="0" applyFont="1" applyAlignment="1"/>
    <xf numFmtId="0" fontId="1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0" fillId="4" borderId="1" xfId="0" applyFill="1" applyBorder="1" applyAlignment="1" applyProtection="1">
      <alignment horizontal="center" vertical="center" wrapText="1"/>
      <protection locked="0"/>
    </xf>
    <xf numFmtId="0" fontId="0" fillId="0" borderId="1" xfId="0" applyFont="1" applyBorder="1" applyAlignment="1" applyProtection="1">
      <alignment horizontal="center" vertical="center"/>
      <protection locked="0"/>
    </xf>
    <xf numFmtId="0" fontId="0" fillId="4" borderId="1" xfId="0" applyFont="1" applyFill="1" applyBorder="1" applyAlignment="1" applyProtection="1">
      <alignment horizontal="center" vertical="center" wrapText="1"/>
      <protection locked="0"/>
    </xf>
    <xf numFmtId="0" fontId="0" fillId="0" borderId="0" xfId="0" applyProtection="1"/>
    <xf numFmtId="0" fontId="2" fillId="0" borderId="1" xfId="0" applyFont="1" applyBorder="1" applyAlignment="1" applyProtection="1">
      <alignment horizontal="center" vertical="center"/>
    </xf>
    <xf numFmtId="0" fontId="5" fillId="0" borderId="0" xfId="0" applyFont="1" applyProtection="1"/>
    <xf numFmtId="0" fontId="0" fillId="0" borderId="0" xfId="0" applyBorder="1" applyProtection="1"/>
    <xf numFmtId="0" fontId="0" fillId="0" borderId="1" xfId="0" applyBorder="1" applyAlignment="1" applyProtection="1">
      <alignment vertical="center"/>
    </xf>
    <xf numFmtId="0" fontId="0" fillId="4" borderId="1" xfId="0" applyFill="1" applyBorder="1" applyAlignment="1" applyProtection="1">
      <alignment horizontal="center" vertical="center"/>
    </xf>
    <xf numFmtId="0" fontId="1" fillId="0" borderId="1" xfId="0" applyFont="1" applyBorder="1" applyAlignment="1" applyProtection="1">
      <alignment horizontal="left" vertical="center" wrapText="1"/>
    </xf>
    <xf numFmtId="0" fontId="0" fillId="0" borderId="1" xfId="0" applyBorder="1" applyAlignment="1" applyProtection="1">
      <alignment horizontal="left" vertical="center" wrapText="1"/>
    </xf>
    <xf numFmtId="0" fontId="0" fillId="0" borderId="1" xfId="0" applyFont="1" applyBorder="1" applyAlignment="1" applyProtection="1">
      <alignment horizontal="left" vertical="center" wrapText="1"/>
    </xf>
    <xf numFmtId="0" fontId="0" fillId="3" borderId="1" xfId="0" applyFill="1" applyBorder="1" applyAlignment="1" applyProtection="1">
      <alignment vertical="center"/>
    </xf>
    <xf numFmtId="0" fontId="0" fillId="3" borderId="1" xfId="0" applyFill="1" applyBorder="1" applyAlignment="1" applyProtection="1">
      <alignment horizontal="center" vertical="center"/>
    </xf>
    <xf numFmtId="0" fontId="0" fillId="0" borderId="0" xfId="0" applyFont="1" applyProtection="1"/>
    <xf numFmtId="0" fontId="0" fillId="0" borderId="1" xfId="0" applyFont="1" applyBorder="1" applyAlignment="1" applyProtection="1">
      <alignment horizontal="center" vertical="center"/>
    </xf>
    <xf numFmtId="0" fontId="0" fillId="4" borderId="1" xfId="0" applyFont="1" applyFill="1" applyBorder="1" applyAlignment="1" applyProtection="1">
      <alignment horizontal="center" vertical="center"/>
    </xf>
    <xf numFmtId="0" fontId="0" fillId="5" borderId="1" xfId="0" applyFont="1" applyFill="1" applyBorder="1" applyAlignment="1" applyProtection="1">
      <alignment horizontal="center" vertical="center"/>
    </xf>
    <xf numFmtId="0" fontId="0" fillId="3" borderId="1" xfId="0" applyFont="1" applyFill="1" applyBorder="1" applyAlignment="1" applyProtection="1">
      <alignment horizontal="left" vertical="center"/>
    </xf>
    <xf numFmtId="0" fontId="0" fillId="3" borderId="1" xfId="0" applyFont="1" applyFill="1" applyBorder="1" applyAlignment="1" applyProtection="1">
      <alignment horizontal="center" vertical="center"/>
    </xf>
    <xf numFmtId="0" fontId="0" fillId="6" borderId="1" xfId="0" applyFill="1" applyBorder="1" applyAlignment="1" applyProtection="1">
      <alignment horizontal="center" vertical="center"/>
    </xf>
    <xf numFmtId="0" fontId="11" fillId="0" borderId="0" xfId="0" applyFont="1" applyProtection="1"/>
    <xf numFmtId="0" fontId="0" fillId="6" borderId="1" xfId="0" applyFill="1" applyBorder="1" applyAlignment="1" applyProtection="1">
      <alignment horizontal="left" vertical="center"/>
    </xf>
    <xf numFmtId="0" fontId="1" fillId="0" borderId="0" xfId="0" applyFont="1" applyProtection="1"/>
    <xf numFmtId="0" fontId="1" fillId="0" borderId="1" xfId="0" applyFont="1" applyBorder="1" applyAlignment="1" applyProtection="1">
      <alignment horizontal="center" vertical="center"/>
    </xf>
    <xf numFmtId="0" fontId="1" fillId="5" borderId="1" xfId="0" applyFont="1" applyFill="1" applyBorder="1" applyAlignment="1" applyProtection="1">
      <alignment horizontal="center" vertical="center"/>
    </xf>
    <xf numFmtId="0" fontId="0" fillId="5" borderId="1" xfId="0" applyFill="1" applyBorder="1" applyAlignment="1" applyProtection="1">
      <alignment horizontal="center" vertical="center"/>
    </xf>
    <xf numFmtId="0" fontId="3" fillId="0" borderId="0" xfId="0" applyFont="1" applyAlignment="1" applyProtection="1"/>
    <xf numFmtId="0" fontId="3" fillId="0" borderId="0" xfId="0" applyFont="1" applyAlignment="1" applyProtection="1">
      <alignment horizontal="center" vertical="center" wrapText="1"/>
    </xf>
    <xf numFmtId="0" fontId="3" fillId="0" borderId="0" xfId="0" applyFont="1" applyAlignment="1" applyProtection="1">
      <alignment horizontal="center" vertical="center" wrapText="1"/>
    </xf>
    <xf numFmtId="0" fontId="4" fillId="0" borderId="11" xfId="0" applyFont="1" applyBorder="1" applyAlignment="1" applyProtection="1">
      <alignment horizontal="center" vertical="center" wrapText="1"/>
    </xf>
    <xf numFmtId="0" fontId="4" fillId="0" borderId="0" xfId="0" applyFont="1" applyBorder="1" applyAlignment="1" applyProtection="1">
      <alignment horizontal="left" vertical="center" wrapText="1"/>
    </xf>
    <xf numFmtId="0" fontId="4" fillId="0" borderId="0" xfId="0" applyFont="1" applyBorder="1" applyAlignment="1" applyProtection="1">
      <alignment horizontal="center" vertical="center" wrapText="1"/>
      <protection locked="0"/>
    </xf>
    <xf numFmtId="0" fontId="2" fillId="0" borderId="1" xfId="0" applyFont="1" applyBorder="1" applyAlignment="1" applyProtection="1">
      <alignment horizontal="center" vertical="center" wrapText="1"/>
    </xf>
    <xf numFmtId="0" fontId="0" fillId="0" borderId="0" xfId="0" applyAlignment="1">
      <alignment horizontal="left"/>
    </xf>
    <xf numFmtId="0" fontId="14" fillId="0" borderId="0" xfId="0" applyFont="1"/>
    <xf numFmtId="0" fontId="15" fillId="0" borderId="0" xfId="0" applyFont="1"/>
    <xf numFmtId="0" fontId="14" fillId="0" borderId="0" xfId="0" applyFont="1" applyAlignment="1">
      <alignment horizontal="center"/>
    </xf>
    <xf numFmtId="0" fontId="4" fillId="0" borderId="0" xfId="0" applyFont="1" applyBorder="1" applyAlignment="1" applyProtection="1">
      <alignment horizontal="center" vertical="center" wrapText="1"/>
    </xf>
    <xf numFmtId="0" fontId="0" fillId="0" borderId="1" xfId="0" applyFill="1" applyBorder="1" applyAlignment="1" applyProtection="1">
      <alignment horizontal="center" vertical="center" wrapText="1"/>
    </xf>
    <xf numFmtId="0" fontId="1" fillId="0" borderId="1" xfId="0" applyNumberFormat="1" applyFont="1" applyBorder="1" applyAlignment="1" applyProtection="1">
      <alignment horizontal="center" vertical="center"/>
      <protection locked="0"/>
    </xf>
    <xf numFmtId="0" fontId="4" fillId="2" borderId="0" xfId="0" applyFont="1" applyFill="1" applyBorder="1" applyAlignment="1" applyProtection="1">
      <alignment horizontal="center"/>
    </xf>
    <xf numFmtId="0" fontId="6" fillId="0" borderId="0" xfId="0" applyFont="1" applyAlignment="1" applyProtection="1">
      <alignment horizontal="center" vertical="center"/>
    </xf>
    <xf numFmtId="14" fontId="3" fillId="0" borderId="0" xfId="0" applyNumberFormat="1" applyFont="1" applyAlignment="1" applyProtection="1">
      <alignment horizontal="center"/>
      <protection locked="0"/>
    </xf>
    <xf numFmtId="0" fontId="3" fillId="0" borderId="0" xfId="0" applyFont="1" applyAlignment="1" applyProtection="1">
      <alignment horizontal="center"/>
      <protection locked="0"/>
    </xf>
    <xf numFmtId="0" fontId="4" fillId="2" borderId="0" xfId="0" applyFont="1" applyFill="1" applyBorder="1" applyAlignment="1">
      <alignment horizontal="center"/>
    </xf>
    <xf numFmtId="0" fontId="6" fillId="0" borderId="0" xfId="0" applyFont="1" applyAlignment="1">
      <alignment horizontal="center" vertical="center"/>
    </xf>
    <xf numFmtId="0" fontId="4" fillId="7" borderId="4" xfId="0" applyFont="1" applyFill="1" applyBorder="1" applyAlignment="1" applyProtection="1">
      <alignment horizontal="center"/>
    </xf>
    <xf numFmtId="0" fontId="4" fillId="7" borderId="5" xfId="0" applyFont="1" applyFill="1" applyBorder="1" applyAlignment="1" applyProtection="1">
      <alignment horizontal="center"/>
    </xf>
    <xf numFmtId="0" fontId="4" fillId="7" borderId="6" xfId="0" applyFont="1" applyFill="1" applyBorder="1" applyAlignment="1" applyProtection="1">
      <alignment horizontal="center"/>
    </xf>
    <xf numFmtId="0" fontId="12" fillId="0" borderId="0" xfId="0" applyFont="1" applyAlignment="1" applyProtection="1">
      <alignment horizontal="center" vertical="center" wrapText="1"/>
    </xf>
    <xf numFmtId="0" fontId="2" fillId="4" borderId="2" xfId="0" applyFont="1" applyFill="1" applyBorder="1" applyAlignment="1" applyProtection="1">
      <alignment horizontal="center" vertical="center"/>
    </xf>
    <xf numFmtId="0" fontId="2" fillId="4" borderId="3" xfId="0" applyFont="1" applyFill="1" applyBorder="1" applyAlignment="1" applyProtection="1">
      <alignment horizontal="center" vertical="center"/>
    </xf>
    <xf numFmtId="0" fontId="4" fillId="0" borderId="7" xfId="0" applyFont="1" applyBorder="1" applyAlignment="1" applyProtection="1">
      <alignment horizontal="left" vertical="center" wrapText="1"/>
    </xf>
    <xf numFmtId="0" fontId="4" fillId="0" borderId="8" xfId="0" applyFont="1" applyBorder="1" applyAlignment="1" applyProtection="1">
      <alignment horizontal="left" vertical="center" wrapText="1"/>
    </xf>
    <xf numFmtId="0" fontId="4" fillId="0" borderId="8" xfId="0" applyFont="1" applyBorder="1" applyAlignment="1" applyProtection="1">
      <alignment horizontal="center" vertical="center" wrapText="1"/>
      <protection locked="0"/>
    </xf>
    <xf numFmtId="0" fontId="4" fillId="0" borderId="9" xfId="0" applyFont="1" applyBorder="1" applyAlignment="1" applyProtection="1">
      <alignment horizontal="center" vertical="center" wrapText="1"/>
      <protection locked="0"/>
    </xf>
    <xf numFmtId="0" fontId="4" fillId="0" borderId="13" xfId="0" applyFont="1" applyBorder="1" applyAlignment="1" applyProtection="1">
      <alignment horizontal="left" vertical="center" wrapText="1"/>
    </xf>
    <xf numFmtId="0" fontId="4" fillId="0" borderId="0" xfId="0" applyFont="1" applyBorder="1" applyAlignment="1" applyProtection="1">
      <alignment horizontal="left" vertical="center" wrapText="1"/>
    </xf>
    <xf numFmtId="0" fontId="4" fillId="0" borderId="0" xfId="0" applyFont="1" applyBorder="1" applyAlignment="1" applyProtection="1">
      <alignment horizontal="center" vertical="center" wrapText="1"/>
      <protection locked="0"/>
    </xf>
    <xf numFmtId="0" fontId="4" fillId="0" borderId="14" xfId="0" applyFont="1" applyBorder="1" applyAlignment="1" applyProtection="1">
      <alignment horizontal="center" vertical="center" wrapText="1"/>
      <protection locked="0"/>
    </xf>
    <xf numFmtId="0" fontId="4" fillId="0" borderId="10" xfId="0" applyFont="1" applyBorder="1" applyAlignment="1" applyProtection="1">
      <alignment horizontal="left" vertical="center" wrapText="1"/>
    </xf>
    <xf numFmtId="0" fontId="4" fillId="0" borderId="11" xfId="0" applyFont="1" applyBorder="1" applyAlignment="1" applyProtection="1">
      <alignment horizontal="left" vertical="center" wrapText="1"/>
    </xf>
    <xf numFmtId="14" fontId="4" fillId="0" borderId="11" xfId="0" applyNumberFormat="1" applyFont="1" applyBorder="1" applyAlignment="1" applyProtection="1">
      <alignment horizontal="center" vertical="center" wrapText="1"/>
      <protection locked="0"/>
    </xf>
    <xf numFmtId="0" fontId="4" fillId="0" borderId="11" xfId="0" applyFont="1" applyBorder="1" applyAlignment="1" applyProtection="1">
      <alignment horizontal="center" vertical="center" wrapText="1"/>
      <protection locked="0"/>
    </xf>
    <xf numFmtId="0" fontId="4" fillId="0" borderId="12" xfId="0" applyFont="1" applyBorder="1" applyAlignment="1" applyProtection="1">
      <alignment horizontal="center" vertical="center" wrapText="1"/>
      <protection locked="0"/>
    </xf>
    <xf numFmtId="0" fontId="9" fillId="3" borderId="2" xfId="0" applyFont="1" applyFill="1" applyBorder="1" applyAlignment="1" applyProtection="1">
      <alignment horizontal="center" vertical="center" wrapText="1"/>
    </xf>
    <xf numFmtId="0" fontId="9" fillId="3" borderId="3" xfId="0" applyFont="1" applyFill="1" applyBorder="1" applyAlignment="1" applyProtection="1">
      <alignment horizontal="center" vertical="center" wrapText="1"/>
    </xf>
    <xf numFmtId="0" fontId="9" fillId="8" borderId="2" xfId="0" applyFont="1" applyFill="1" applyBorder="1" applyAlignment="1" applyProtection="1">
      <alignment horizontal="center" vertical="center"/>
    </xf>
    <xf numFmtId="0" fontId="9" fillId="8" borderId="3" xfId="0" applyFont="1" applyFill="1" applyBorder="1" applyAlignment="1" applyProtection="1">
      <alignment horizontal="center" vertical="center"/>
    </xf>
    <xf numFmtId="0" fontId="9" fillId="9" borderId="2" xfId="0" applyFont="1" applyFill="1" applyBorder="1" applyAlignment="1" applyProtection="1">
      <alignment horizontal="center" vertical="center" wrapText="1"/>
    </xf>
    <xf numFmtId="0" fontId="9" fillId="9" borderId="3" xfId="0" applyFont="1" applyFill="1" applyBorder="1" applyAlignment="1" applyProtection="1">
      <alignment horizontal="center" vertical="center" wrapText="1"/>
    </xf>
    <xf numFmtId="0" fontId="12" fillId="10" borderId="4" xfId="0" applyFont="1" applyFill="1" applyBorder="1" applyAlignment="1" applyProtection="1">
      <alignment horizontal="center" vertical="center"/>
    </xf>
    <xf numFmtId="0" fontId="12" fillId="10" borderId="5" xfId="0" applyFont="1" applyFill="1" applyBorder="1" applyAlignment="1" applyProtection="1">
      <alignment horizontal="center" vertical="center"/>
    </xf>
    <xf numFmtId="0" fontId="12" fillId="10" borderId="6" xfId="0" applyFont="1" applyFill="1" applyBorder="1" applyAlignment="1" applyProtection="1">
      <alignment horizontal="center" vertical="center"/>
    </xf>
    <xf numFmtId="0" fontId="2" fillId="4" borderId="2" xfId="0" applyFont="1" applyFill="1" applyBorder="1" applyAlignment="1" applyProtection="1">
      <alignment horizontal="center" vertical="center" wrapText="1"/>
      <protection locked="0"/>
    </xf>
    <xf numFmtId="0" fontId="2" fillId="4" borderId="3" xfId="0" applyFont="1" applyFill="1" applyBorder="1" applyAlignment="1" applyProtection="1">
      <alignment horizontal="center" vertical="center" wrapText="1"/>
      <protection locked="0"/>
    </xf>
    <xf numFmtId="0" fontId="13" fillId="10" borderId="4" xfId="0" applyFont="1" applyFill="1" applyBorder="1" applyAlignment="1" applyProtection="1">
      <alignment horizontal="center" vertical="center"/>
    </xf>
    <xf numFmtId="0" fontId="13" fillId="10" borderId="5" xfId="0" applyFont="1" applyFill="1" applyBorder="1" applyAlignment="1" applyProtection="1">
      <alignment horizontal="center" vertical="center"/>
    </xf>
    <xf numFmtId="0" fontId="13" fillId="10" borderId="6" xfId="0" applyFont="1" applyFill="1" applyBorder="1" applyAlignment="1" applyProtection="1">
      <alignment horizontal="center" vertical="center"/>
    </xf>
    <xf numFmtId="0" fontId="3" fillId="0" borderId="0" xfId="0" applyFont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28"/>
  <sheetViews>
    <sheetView zoomScaleNormal="100" zoomScaleSheetLayoutView="100" workbookViewId="0">
      <selection activeCell="H10" sqref="H10"/>
    </sheetView>
  </sheetViews>
  <sheetFormatPr baseColWidth="10" defaultRowHeight="14.4" x14ac:dyDescent="0.3"/>
  <cols>
    <col min="1" max="1" width="22.44140625" customWidth="1"/>
    <col min="2" max="2" width="16.33203125" customWidth="1"/>
    <col min="3" max="3" width="15.6640625" customWidth="1"/>
    <col min="4" max="4" width="16.109375" customWidth="1"/>
    <col min="5" max="5" width="14.88671875" customWidth="1"/>
    <col min="6" max="6" width="16.109375" customWidth="1"/>
    <col min="7" max="7" width="14.44140625" customWidth="1"/>
    <col min="8" max="8" width="50.5546875" customWidth="1"/>
  </cols>
  <sheetData>
    <row r="1" spans="1:8" ht="40.5" customHeight="1" x14ac:dyDescent="0.3">
      <c r="A1" s="72" t="s">
        <v>0</v>
      </c>
      <c r="B1" s="72"/>
      <c r="C1" s="72"/>
      <c r="D1" s="72"/>
      <c r="E1" s="72"/>
      <c r="F1" s="72"/>
      <c r="G1" s="72"/>
      <c r="H1" s="25"/>
    </row>
    <row r="2" spans="1:8" ht="21" x14ac:dyDescent="0.4">
      <c r="A2" s="57" t="s">
        <v>32</v>
      </c>
      <c r="B2" s="73">
        <v>43752</v>
      </c>
      <c r="C2" s="74"/>
      <c r="D2" s="74"/>
      <c r="E2" s="74"/>
      <c r="F2" s="74"/>
      <c r="G2" s="74"/>
      <c r="H2" s="27"/>
    </row>
    <row r="3" spans="1:8" ht="18.75" customHeight="1" x14ac:dyDescent="0.3">
      <c r="A3" s="33"/>
      <c r="B3" s="33"/>
      <c r="C3" s="33"/>
      <c r="D3" s="33"/>
      <c r="E3" s="33"/>
      <c r="F3" s="33"/>
      <c r="G3" s="33"/>
    </row>
    <row r="4" spans="1:8" ht="18" x14ac:dyDescent="0.35">
      <c r="A4" s="71" t="s">
        <v>49</v>
      </c>
      <c r="B4" s="71"/>
      <c r="C4" s="71"/>
      <c r="D4" s="71"/>
      <c r="E4" s="71"/>
      <c r="F4" s="71"/>
      <c r="G4" s="71"/>
    </row>
    <row r="5" spans="1:8" x14ac:dyDescent="0.3">
      <c r="A5" s="33"/>
      <c r="B5" s="33"/>
      <c r="C5" s="33"/>
      <c r="D5" s="33"/>
      <c r="E5" s="33"/>
      <c r="F5" s="33"/>
      <c r="G5" s="33"/>
    </row>
    <row r="6" spans="1:8" ht="20.100000000000001" customHeight="1" x14ac:dyDescent="0.3">
      <c r="A6" s="37"/>
      <c r="B6" s="7" t="s">
        <v>19</v>
      </c>
      <c r="C6" s="7" t="s">
        <v>20</v>
      </c>
      <c r="D6" s="7" t="s">
        <v>21</v>
      </c>
      <c r="E6" s="7" t="s">
        <v>22</v>
      </c>
      <c r="F6" s="38" t="s">
        <v>9</v>
      </c>
      <c r="G6" s="38" t="s">
        <v>7</v>
      </c>
    </row>
    <row r="7" spans="1:8" ht="43.2" x14ac:dyDescent="0.3">
      <c r="A7" s="39" t="s">
        <v>26</v>
      </c>
      <c r="B7" s="28">
        <v>59</v>
      </c>
      <c r="C7" s="28">
        <v>17</v>
      </c>
      <c r="D7" s="28">
        <v>4</v>
      </c>
      <c r="E7" s="28">
        <v>73</v>
      </c>
      <c r="F7" s="28"/>
      <c r="G7" s="38">
        <f>SUM(B7:F7)</f>
        <v>153</v>
      </c>
    </row>
    <row r="8" spans="1:8" ht="30" customHeight="1" x14ac:dyDescent="0.3">
      <c r="A8" s="40" t="s">
        <v>11</v>
      </c>
      <c r="B8" s="55"/>
      <c r="C8" s="56"/>
      <c r="D8" s="29">
        <v>0</v>
      </c>
      <c r="E8" s="56"/>
      <c r="F8" s="56"/>
      <c r="G8" s="38">
        <f>SUM(B8:F8)</f>
        <v>0</v>
      </c>
    </row>
    <row r="9" spans="1:8" ht="30" customHeight="1" x14ac:dyDescent="0.3">
      <c r="A9" s="40" t="s">
        <v>16</v>
      </c>
      <c r="B9" s="55"/>
      <c r="C9" s="56"/>
      <c r="D9" s="29"/>
      <c r="E9" s="56"/>
      <c r="F9" s="56"/>
      <c r="G9" s="38">
        <f>SUM(B9:F9)</f>
        <v>0</v>
      </c>
    </row>
    <row r="10" spans="1:8" ht="28.8" x14ac:dyDescent="0.3">
      <c r="A10" s="41" t="s">
        <v>24</v>
      </c>
      <c r="B10" s="30">
        <v>10</v>
      </c>
      <c r="C10" s="30">
        <v>2</v>
      </c>
      <c r="D10" s="69">
        <v>0</v>
      </c>
      <c r="E10" s="30">
        <v>16</v>
      </c>
      <c r="F10" s="56"/>
      <c r="G10" s="38">
        <f>SUM(B10:F10)</f>
        <v>28</v>
      </c>
    </row>
    <row r="11" spans="1:8" ht="30" customHeight="1" x14ac:dyDescent="0.3">
      <c r="A11" s="42" t="s">
        <v>10</v>
      </c>
      <c r="B11" s="43">
        <f>B7-B10</f>
        <v>49</v>
      </c>
      <c r="C11" s="43">
        <f>C7-C10</f>
        <v>15</v>
      </c>
      <c r="D11" s="43">
        <f>D7+D8+D9-D10</f>
        <v>4</v>
      </c>
      <c r="E11" s="43">
        <f>E7-E10</f>
        <v>57</v>
      </c>
      <c r="F11" s="43">
        <f>SUM(F7:F10)</f>
        <v>0</v>
      </c>
      <c r="G11" s="43">
        <f>SUM(B11:F11)</f>
        <v>125</v>
      </c>
    </row>
    <row r="12" spans="1:8" x14ac:dyDescent="0.3">
      <c r="A12" s="33"/>
      <c r="B12" s="33"/>
      <c r="C12" s="33"/>
      <c r="D12" s="33"/>
      <c r="E12" s="33"/>
      <c r="F12" s="33"/>
      <c r="G12" s="33"/>
    </row>
    <row r="13" spans="1:8" ht="15.6" x14ac:dyDescent="0.3">
      <c r="A13" s="35" t="s">
        <v>36</v>
      </c>
      <c r="B13" s="44"/>
      <c r="C13" s="44"/>
      <c r="D13" s="44"/>
      <c r="E13" s="44"/>
      <c r="F13" s="44"/>
      <c r="G13" s="44"/>
      <c r="H13" s="19"/>
    </row>
    <row r="14" spans="1:8" x14ac:dyDescent="0.3">
      <c r="A14" s="44"/>
      <c r="B14" s="44"/>
      <c r="C14" s="44"/>
      <c r="D14" s="44"/>
      <c r="E14" s="44"/>
      <c r="F14" s="44"/>
      <c r="G14" s="44"/>
    </row>
    <row r="15" spans="1:8" ht="20.100000000000001" customHeight="1" x14ac:dyDescent="0.3">
      <c r="A15" s="44"/>
      <c r="B15" s="45" t="s">
        <v>19</v>
      </c>
      <c r="C15" s="45" t="s">
        <v>20</v>
      </c>
      <c r="D15" s="45" t="s">
        <v>21</v>
      </c>
      <c r="E15" s="45" t="s">
        <v>22</v>
      </c>
      <c r="F15" s="46" t="s">
        <v>9</v>
      </c>
      <c r="G15" s="46" t="s">
        <v>7</v>
      </c>
    </row>
    <row r="16" spans="1:8" ht="30" customHeight="1" x14ac:dyDescent="0.3">
      <c r="A16" s="41" t="s">
        <v>28</v>
      </c>
      <c r="B16" s="31">
        <v>7</v>
      </c>
      <c r="C16" s="31">
        <v>0</v>
      </c>
      <c r="D16" s="31">
        <v>4</v>
      </c>
      <c r="E16" s="31">
        <v>5</v>
      </c>
      <c r="F16" s="47"/>
      <c r="G16" s="46">
        <f t="shared" ref="G16:G20" si="0">SUM(B16:F16)</f>
        <v>16</v>
      </c>
    </row>
    <row r="17" spans="1:8" ht="30" customHeight="1" x14ac:dyDescent="0.3">
      <c r="A17" s="41" t="s">
        <v>27</v>
      </c>
      <c r="B17" s="31">
        <v>3</v>
      </c>
      <c r="C17" s="31">
        <v>0</v>
      </c>
      <c r="D17" s="31">
        <v>1</v>
      </c>
      <c r="E17" s="31">
        <v>0</v>
      </c>
      <c r="F17" s="47"/>
      <c r="G17" s="46">
        <f t="shared" si="0"/>
        <v>4</v>
      </c>
    </row>
    <row r="18" spans="1:8" ht="30" customHeight="1" x14ac:dyDescent="0.3">
      <c r="A18" s="41" t="s">
        <v>29</v>
      </c>
      <c r="B18" s="31">
        <v>0</v>
      </c>
      <c r="C18" s="31">
        <v>0</v>
      </c>
      <c r="D18" s="31">
        <v>0</v>
      </c>
      <c r="E18" s="31">
        <v>0</v>
      </c>
      <c r="F18" s="47"/>
      <c r="G18" s="46">
        <f t="shared" si="0"/>
        <v>0</v>
      </c>
    </row>
    <row r="19" spans="1:8" ht="28.8" x14ac:dyDescent="0.3">
      <c r="A19" s="41" t="s">
        <v>25</v>
      </c>
      <c r="B19" s="32">
        <v>0</v>
      </c>
      <c r="C19" s="32">
        <v>0</v>
      </c>
      <c r="D19" s="32">
        <v>2</v>
      </c>
      <c r="E19" s="32">
        <v>1</v>
      </c>
      <c r="F19" s="47"/>
      <c r="G19" s="46">
        <f t="shared" si="0"/>
        <v>3</v>
      </c>
    </row>
    <row r="20" spans="1:8" ht="30" customHeight="1" x14ac:dyDescent="0.3">
      <c r="A20" s="48" t="s">
        <v>2</v>
      </c>
      <c r="B20" s="49">
        <f>B16+B17+B18-B19</f>
        <v>10</v>
      </c>
      <c r="C20" s="49">
        <f>C16+C17+C18-C19</f>
        <v>0</v>
      </c>
      <c r="D20" s="49">
        <f>D16+D17+D18-D19</f>
        <v>3</v>
      </c>
      <c r="E20" s="49">
        <f>E16+E17+E18-E19</f>
        <v>4</v>
      </c>
      <c r="F20" s="47"/>
      <c r="G20" s="49">
        <f t="shared" si="0"/>
        <v>17</v>
      </c>
    </row>
    <row r="21" spans="1:8" ht="35.25" customHeight="1" x14ac:dyDescent="0.3">
      <c r="A21" s="36"/>
      <c r="B21" s="36"/>
      <c r="C21" s="33"/>
      <c r="D21" s="33"/>
      <c r="E21" s="33"/>
      <c r="F21" s="33"/>
      <c r="G21" s="33"/>
    </row>
    <row r="22" spans="1:8" ht="15.6" x14ac:dyDescent="0.3">
      <c r="A22" s="51" t="s">
        <v>30</v>
      </c>
      <c r="B22" s="44"/>
      <c r="C22" s="44"/>
      <c r="D22" s="44"/>
      <c r="E22" s="44"/>
      <c r="F22" s="44"/>
      <c r="G22" s="33"/>
      <c r="H22" s="19"/>
    </row>
    <row r="23" spans="1:8" x14ac:dyDescent="0.3">
      <c r="A23" s="44"/>
      <c r="B23" s="44"/>
      <c r="C23" s="44"/>
      <c r="D23" s="44"/>
      <c r="E23" s="44"/>
      <c r="F23" s="44"/>
      <c r="G23" s="33"/>
    </row>
    <row r="24" spans="1:8" ht="20.100000000000001" customHeight="1" x14ac:dyDescent="0.3">
      <c r="A24" s="44"/>
      <c r="B24" s="45" t="s">
        <v>3</v>
      </c>
      <c r="C24" s="45" t="s">
        <v>4</v>
      </c>
      <c r="D24" s="45" t="s">
        <v>5</v>
      </c>
      <c r="E24" s="45" t="s">
        <v>6</v>
      </c>
      <c r="F24" s="46" t="s">
        <v>7</v>
      </c>
      <c r="G24" s="33"/>
    </row>
    <row r="25" spans="1:8" ht="30" customHeight="1" x14ac:dyDescent="0.3">
      <c r="A25" s="41" t="s">
        <v>33</v>
      </c>
      <c r="B25" s="28">
        <v>0</v>
      </c>
      <c r="C25" s="28">
        <v>0</v>
      </c>
      <c r="D25" s="28">
        <v>0</v>
      </c>
      <c r="E25" s="28">
        <v>0</v>
      </c>
      <c r="F25" s="54">
        <f>SUM(B25:E25)</f>
        <v>0</v>
      </c>
      <c r="G25" s="33"/>
    </row>
    <row r="26" spans="1:8" ht="30" customHeight="1" x14ac:dyDescent="0.3">
      <c r="A26" s="52" t="s">
        <v>2</v>
      </c>
      <c r="B26" s="50">
        <f>SUM(B25:B25)</f>
        <v>0</v>
      </c>
      <c r="C26" s="50">
        <f>SUM(C25:C25)</f>
        <v>0</v>
      </c>
      <c r="D26" s="50">
        <f>SUM(D25:D25)</f>
        <v>0</v>
      </c>
      <c r="E26" s="50">
        <f>SUM(E25:E25)</f>
        <v>0</v>
      </c>
      <c r="F26" s="50">
        <f>SUM(F25:F25)</f>
        <v>0</v>
      </c>
      <c r="G26" s="33"/>
    </row>
    <row r="27" spans="1:8" x14ac:dyDescent="0.3">
      <c r="A27" s="33"/>
      <c r="B27" s="33"/>
      <c r="C27" s="33"/>
      <c r="D27" s="33"/>
      <c r="E27" s="33"/>
      <c r="F27" s="33"/>
      <c r="G27" s="33"/>
    </row>
    <row r="28" spans="1:8" x14ac:dyDescent="0.3">
      <c r="A28" s="53" t="s">
        <v>8</v>
      </c>
      <c r="B28" s="33"/>
      <c r="C28" s="33"/>
      <c r="D28" s="33"/>
      <c r="E28" s="33"/>
      <c r="F28" s="33"/>
      <c r="G28" s="33"/>
    </row>
  </sheetData>
  <mergeCells count="3">
    <mergeCell ref="A4:G4"/>
    <mergeCell ref="A1:G1"/>
    <mergeCell ref="B2:G2"/>
  </mergeCells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86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8"/>
  <sheetViews>
    <sheetView zoomScaleNormal="100" workbookViewId="0">
      <selection activeCell="E11" sqref="E11"/>
    </sheetView>
  </sheetViews>
  <sheetFormatPr baseColWidth="10" defaultRowHeight="14.4" x14ac:dyDescent="0.3"/>
  <cols>
    <col min="1" max="1" width="22.5546875" customWidth="1"/>
    <col min="2" max="2" width="16.33203125" customWidth="1"/>
    <col min="3" max="3" width="15.6640625" customWidth="1"/>
    <col min="4" max="4" width="16.109375" customWidth="1"/>
    <col min="5" max="5" width="14.88671875" customWidth="1"/>
    <col min="6" max="6" width="16.109375" customWidth="1"/>
    <col min="7" max="7" width="14.44140625" customWidth="1"/>
    <col min="8" max="8" width="50.5546875" customWidth="1"/>
  </cols>
  <sheetData>
    <row r="1" spans="1:8" ht="40.5" customHeight="1" x14ac:dyDescent="0.3">
      <c r="A1" s="76" t="s">
        <v>0</v>
      </c>
      <c r="B1" s="76"/>
      <c r="C1" s="76"/>
      <c r="D1" s="76"/>
      <c r="E1" s="76"/>
      <c r="F1" s="76"/>
      <c r="G1" s="76"/>
      <c r="H1" s="25"/>
    </row>
    <row r="2" spans="1:8" ht="21" x14ac:dyDescent="0.4">
      <c r="A2" s="57" t="s">
        <v>32</v>
      </c>
      <c r="B2" s="73">
        <v>43753</v>
      </c>
      <c r="C2" s="74"/>
      <c r="D2" s="74"/>
      <c r="E2" s="74"/>
      <c r="F2" s="74"/>
      <c r="G2" s="74"/>
      <c r="H2" s="27"/>
    </row>
    <row r="3" spans="1:8" ht="18.75" customHeight="1" x14ac:dyDescent="0.3"/>
    <row r="4" spans="1:8" ht="18" x14ac:dyDescent="0.35">
      <c r="A4" s="75" t="s">
        <v>49</v>
      </c>
      <c r="B4" s="75"/>
      <c r="C4" s="75"/>
      <c r="D4" s="75"/>
      <c r="E4" s="75"/>
      <c r="F4" s="75"/>
      <c r="G4" s="75"/>
    </row>
    <row r="6" spans="1:8" ht="20.100000000000001" customHeight="1" x14ac:dyDescent="0.3">
      <c r="A6" s="1"/>
      <c r="B6" s="3" t="s">
        <v>19</v>
      </c>
      <c r="C6" s="3" t="s">
        <v>20</v>
      </c>
      <c r="D6" s="3" t="s">
        <v>21</v>
      </c>
      <c r="E6" s="3" t="s">
        <v>22</v>
      </c>
      <c r="F6" s="9" t="s">
        <v>9</v>
      </c>
      <c r="G6" s="9" t="s">
        <v>7</v>
      </c>
    </row>
    <row r="7" spans="1:8" ht="43.2" x14ac:dyDescent="0.3">
      <c r="A7" s="10" t="s">
        <v>26</v>
      </c>
      <c r="B7" s="28">
        <v>62</v>
      </c>
      <c r="C7" s="28">
        <v>19</v>
      </c>
      <c r="D7" s="70">
        <v>2</v>
      </c>
      <c r="E7" s="28">
        <v>73</v>
      </c>
      <c r="F7" s="28">
        <v>0</v>
      </c>
      <c r="G7" s="38">
        <f>SUM(B7:F7)</f>
        <v>156</v>
      </c>
    </row>
    <row r="8" spans="1:8" ht="30" customHeight="1" x14ac:dyDescent="0.3">
      <c r="A8" s="11" t="s">
        <v>11</v>
      </c>
      <c r="B8" s="55"/>
      <c r="C8" s="56"/>
      <c r="D8" s="29">
        <v>0</v>
      </c>
      <c r="E8" s="56"/>
      <c r="F8" s="56"/>
      <c r="G8" s="38">
        <f>SUM(B8:F8)</f>
        <v>0</v>
      </c>
    </row>
    <row r="9" spans="1:8" ht="30" customHeight="1" x14ac:dyDescent="0.3">
      <c r="A9" s="11" t="s">
        <v>16</v>
      </c>
      <c r="B9" s="55"/>
      <c r="C9" s="56"/>
      <c r="D9" s="29"/>
      <c r="E9" s="56"/>
      <c r="F9" s="56"/>
      <c r="G9" s="38">
        <f>SUM(B9:F9)</f>
        <v>0</v>
      </c>
    </row>
    <row r="10" spans="1:8" ht="28.8" x14ac:dyDescent="0.3">
      <c r="A10" s="13" t="s">
        <v>24</v>
      </c>
      <c r="B10" s="30">
        <v>10</v>
      </c>
      <c r="C10" s="30">
        <v>2</v>
      </c>
      <c r="D10" s="69"/>
      <c r="E10" s="30">
        <v>16</v>
      </c>
      <c r="F10" s="56"/>
      <c r="G10" s="38">
        <f>SUM(B10:F10)</f>
        <v>28</v>
      </c>
    </row>
    <row r="11" spans="1:8" ht="30" customHeight="1" x14ac:dyDescent="0.3">
      <c r="A11" s="5" t="s">
        <v>10</v>
      </c>
      <c r="B11" s="2">
        <f>B7-B10</f>
        <v>52</v>
      </c>
      <c r="C11" s="2">
        <f>C7-C10</f>
        <v>17</v>
      </c>
      <c r="D11" s="2">
        <f>D7+D8+D9-D10</f>
        <v>2</v>
      </c>
      <c r="E11" s="2">
        <f>E7-E10</f>
        <v>57</v>
      </c>
      <c r="F11" s="2">
        <f t="shared" ref="F11" si="0">SUM(F7:F10)</f>
        <v>0</v>
      </c>
      <c r="G11" s="2">
        <f>SUM(B11:F11)</f>
        <v>128</v>
      </c>
    </row>
    <row r="13" spans="1:8" ht="15.6" x14ac:dyDescent="0.3">
      <c r="A13" s="4" t="s">
        <v>36</v>
      </c>
      <c r="B13" s="14"/>
      <c r="C13" s="14"/>
      <c r="D13" s="14"/>
      <c r="E13" s="14"/>
      <c r="F13" s="14"/>
      <c r="G13" s="14"/>
      <c r="H13" s="19"/>
    </row>
    <row r="14" spans="1:8" x14ac:dyDescent="0.3">
      <c r="A14" s="14"/>
      <c r="B14" s="14"/>
      <c r="C14" s="14"/>
      <c r="D14" s="14"/>
      <c r="E14" s="14"/>
      <c r="F14" s="14"/>
      <c r="G14" s="14"/>
    </row>
    <row r="15" spans="1:8" ht="20.100000000000001" customHeight="1" x14ac:dyDescent="0.3">
      <c r="A15" s="14"/>
      <c r="B15" s="15" t="s">
        <v>19</v>
      </c>
      <c r="C15" s="15" t="s">
        <v>20</v>
      </c>
      <c r="D15" s="15" t="s">
        <v>21</v>
      </c>
      <c r="E15" s="15" t="s">
        <v>22</v>
      </c>
      <c r="F15" s="16" t="s">
        <v>9</v>
      </c>
      <c r="G15" s="16" t="s">
        <v>7</v>
      </c>
    </row>
    <row r="16" spans="1:8" ht="30" customHeight="1" x14ac:dyDescent="0.3">
      <c r="A16" s="13" t="s">
        <v>28</v>
      </c>
      <c r="B16" s="31">
        <v>5</v>
      </c>
      <c r="C16" s="31">
        <v>0</v>
      </c>
      <c r="D16" s="31">
        <v>5</v>
      </c>
      <c r="E16" s="31">
        <v>5</v>
      </c>
      <c r="F16" s="47"/>
      <c r="G16" s="46">
        <f>SUM(B16:F16)</f>
        <v>15</v>
      </c>
    </row>
    <row r="17" spans="1:8" ht="30" customHeight="1" x14ac:dyDescent="0.3">
      <c r="A17" s="13" t="s">
        <v>27</v>
      </c>
      <c r="B17" s="31">
        <v>3</v>
      </c>
      <c r="C17" s="31">
        <v>0</v>
      </c>
      <c r="D17" s="31">
        <v>1</v>
      </c>
      <c r="E17" s="31">
        <v>0</v>
      </c>
      <c r="F17" s="47"/>
      <c r="G17" s="46">
        <f>SUM(B17:F17)</f>
        <v>4</v>
      </c>
    </row>
    <row r="18" spans="1:8" ht="30" customHeight="1" x14ac:dyDescent="0.3">
      <c r="A18" s="13" t="s">
        <v>29</v>
      </c>
      <c r="B18" s="31">
        <v>0</v>
      </c>
      <c r="C18" s="31">
        <v>0</v>
      </c>
      <c r="D18" s="31">
        <v>0</v>
      </c>
      <c r="E18" s="31">
        <v>0</v>
      </c>
      <c r="F18" s="47"/>
      <c r="G18" s="46">
        <f>SUM(B18:F18)</f>
        <v>0</v>
      </c>
    </row>
    <row r="19" spans="1:8" ht="28.8" x14ac:dyDescent="0.3">
      <c r="A19" s="13" t="s">
        <v>25</v>
      </c>
      <c r="B19" s="32">
        <v>0</v>
      </c>
      <c r="C19" s="32">
        <v>0</v>
      </c>
      <c r="D19" s="32">
        <v>2</v>
      </c>
      <c r="E19" s="32">
        <v>1</v>
      </c>
      <c r="F19" s="47"/>
      <c r="G19" s="46">
        <v>0</v>
      </c>
    </row>
    <row r="20" spans="1:8" ht="30" customHeight="1" x14ac:dyDescent="0.3">
      <c r="A20" s="18" t="s">
        <v>2</v>
      </c>
      <c r="B20" s="22">
        <f>B16+B17+B18-B19</f>
        <v>8</v>
      </c>
      <c r="C20" s="22">
        <f>C16+C17+C18-C19</f>
        <v>0</v>
      </c>
      <c r="D20" s="22">
        <f>D16+D17+D18-D19</f>
        <v>4</v>
      </c>
      <c r="E20" s="22">
        <f>E16+E17+E18-E19</f>
        <v>4</v>
      </c>
      <c r="F20" s="17"/>
      <c r="G20" s="22">
        <f>SUM(B20:F20)</f>
        <v>16</v>
      </c>
    </row>
    <row r="21" spans="1:8" ht="35.25" customHeight="1" x14ac:dyDescent="0.3">
      <c r="A21" s="6"/>
      <c r="B21" s="6"/>
    </row>
    <row r="22" spans="1:8" ht="15.6" x14ac:dyDescent="0.3">
      <c r="A22" s="26" t="s">
        <v>30</v>
      </c>
      <c r="B22" s="14"/>
      <c r="C22" s="14"/>
      <c r="D22" s="14"/>
      <c r="E22" s="14"/>
      <c r="F22" s="14"/>
      <c r="H22" s="19"/>
    </row>
    <row r="23" spans="1:8" x14ac:dyDescent="0.3">
      <c r="A23" s="14"/>
      <c r="B23" s="14"/>
      <c r="C23" s="14"/>
      <c r="D23" s="14"/>
      <c r="E23" s="14"/>
      <c r="F23" s="14"/>
    </row>
    <row r="24" spans="1:8" ht="20.100000000000001" customHeight="1" x14ac:dyDescent="0.3">
      <c r="A24" s="14"/>
      <c r="B24" s="15" t="s">
        <v>3</v>
      </c>
      <c r="C24" s="15" t="s">
        <v>4</v>
      </c>
      <c r="D24" s="15" t="s">
        <v>5</v>
      </c>
      <c r="E24" s="15" t="s">
        <v>6</v>
      </c>
      <c r="F24" s="16" t="s">
        <v>7</v>
      </c>
    </row>
    <row r="25" spans="1:8" ht="30" customHeight="1" x14ac:dyDescent="0.3">
      <c r="A25" s="13" t="s">
        <v>33</v>
      </c>
      <c r="B25" s="28">
        <v>0</v>
      </c>
      <c r="C25" s="28">
        <v>0</v>
      </c>
      <c r="D25" s="28">
        <v>0</v>
      </c>
      <c r="E25" s="28">
        <v>0</v>
      </c>
      <c r="F25" s="54">
        <f>SUM(B25:E25)</f>
        <v>0</v>
      </c>
    </row>
    <row r="26" spans="1:8" ht="30" customHeight="1" x14ac:dyDescent="0.3">
      <c r="A26" s="24" t="s">
        <v>2</v>
      </c>
      <c r="B26" s="23">
        <f>SUM(B25:B25)</f>
        <v>0</v>
      </c>
      <c r="C26" s="23">
        <f>SUM(C25:C25)</f>
        <v>0</v>
      </c>
      <c r="D26" s="23">
        <f>SUM(D25:D25)</f>
        <v>0</v>
      </c>
      <c r="E26" s="23">
        <f>SUM(E25:E25)</f>
        <v>0</v>
      </c>
      <c r="F26" s="23">
        <f>SUM(F25:F25)</f>
        <v>0</v>
      </c>
    </row>
    <row r="28" spans="1:8" x14ac:dyDescent="0.3">
      <c r="A28" s="8" t="s">
        <v>8</v>
      </c>
    </row>
  </sheetData>
  <mergeCells count="3">
    <mergeCell ref="A4:G4"/>
    <mergeCell ref="A1:G1"/>
    <mergeCell ref="B2:G2"/>
  </mergeCells>
  <pageMargins left="0.7" right="0.7" top="0.75" bottom="0.75" header="0.3" footer="0.3"/>
  <pageSetup paperSize="9" scale="65" orientation="portrait" r:id="rId1"/>
  <colBreaks count="1" manualBreakCount="1">
    <brk id="7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9"/>
  <sheetViews>
    <sheetView tabSelected="1" zoomScaleNormal="100" workbookViewId="0">
      <selection activeCell="H10" sqref="H10"/>
    </sheetView>
  </sheetViews>
  <sheetFormatPr baseColWidth="10" defaultRowHeight="14.4" x14ac:dyDescent="0.3"/>
  <cols>
    <col min="1" max="1" width="22.33203125" customWidth="1"/>
    <col min="2" max="2" width="16.33203125" customWidth="1"/>
    <col min="3" max="3" width="15.6640625" customWidth="1"/>
    <col min="4" max="4" width="16.109375" customWidth="1"/>
    <col min="5" max="5" width="14.88671875" customWidth="1"/>
    <col min="6" max="6" width="16.109375" customWidth="1"/>
    <col min="7" max="7" width="14.44140625" customWidth="1"/>
    <col min="8" max="8" width="50.5546875" customWidth="1"/>
  </cols>
  <sheetData>
    <row r="1" spans="1:8" ht="40.5" customHeight="1" x14ac:dyDescent="0.3">
      <c r="A1" s="72" t="s">
        <v>0</v>
      </c>
      <c r="B1" s="72"/>
      <c r="C1" s="72"/>
      <c r="D1" s="72"/>
      <c r="E1" s="72"/>
      <c r="F1" s="72"/>
      <c r="G1" s="72"/>
      <c r="H1" s="25"/>
    </row>
    <row r="2" spans="1:8" ht="21" x14ac:dyDescent="0.4">
      <c r="A2" s="57" t="s">
        <v>32</v>
      </c>
      <c r="B2" s="73">
        <v>43755</v>
      </c>
      <c r="C2" s="74"/>
      <c r="D2" s="74"/>
      <c r="E2" s="74"/>
      <c r="F2" s="74"/>
      <c r="G2" s="74"/>
      <c r="H2" s="27"/>
    </row>
    <row r="3" spans="1:8" ht="18.75" customHeight="1" x14ac:dyDescent="0.3">
      <c r="A3" s="33"/>
      <c r="B3" s="33"/>
      <c r="C3" s="33"/>
      <c r="D3" s="33"/>
      <c r="E3" s="33"/>
      <c r="F3" s="33"/>
      <c r="G3" s="33"/>
    </row>
    <row r="4" spans="1:8" ht="18" x14ac:dyDescent="0.35">
      <c r="A4" s="71" t="s">
        <v>49</v>
      </c>
      <c r="B4" s="71"/>
      <c r="C4" s="71"/>
      <c r="D4" s="71"/>
      <c r="E4" s="71"/>
      <c r="F4" s="71"/>
      <c r="G4" s="71"/>
    </row>
    <row r="5" spans="1:8" x14ac:dyDescent="0.3">
      <c r="A5" s="33"/>
      <c r="B5" s="33"/>
      <c r="C5" s="33"/>
      <c r="D5" s="33"/>
      <c r="E5" s="33"/>
      <c r="F5" s="33"/>
      <c r="G5" s="33"/>
    </row>
    <row r="6" spans="1:8" ht="20.100000000000001" customHeight="1" x14ac:dyDescent="0.3">
      <c r="A6" s="37"/>
      <c r="B6" s="7" t="s">
        <v>19</v>
      </c>
      <c r="C6" s="7" t="s">
        <v>20</v>
      </c>
      <c r="D6" s="7" t="s">
        <v>21</v>
      </c>
      <c r="E6" s="7" t="s">
        <v>22</v>
      </c>
      <c r="F6" s="38" t="s">
        <v>9</v>
      </c>
      <c r="G6" s="38" t="s">
        <v>7</v>
      </c>
    </row>
    <row r="7" spans="1:8" ht="43.2" x14ac:dyDescent="0.3">
      <c r="A7" s="39" t="s">
        <v>26</v>
      </c>
      <c r="B7" s="28">
        <v>65</v>
      </c>
      <c r="C7" s="28">
        <v>18</v>
      </c>
      <c r="D7" s="28">
        <v>4</v>
      </c>
      <c r="E7" s="28">
        <v>68</v>
      </c>
      <c r="F7" s="28">
        <v>0</v>
      </c>
      <c r="G7" s="38">
        <f>SUM(B7:F7)</f>
        <v>155</v>
      </c>
    </row>
    <row r="8" spans="1:8" ht="30" customHeight="1" x14ac:dyDescent="0.3">
      <c r="A8" s="40" t="s">
        <v>11</v>
      </c>
      <c r="B8" s="55"/>
      <c r="C8" s="56"/>
      <c r="D8" s="29">
        <v>0</v>
      </c>
      <c r="E8" s="56"/>
      <c r="F8" s="56"/>
      <c r="G8" s="38">
        <f>SUM(B8:F8)</f>
        <v>0</v>
      </c>
    </row>
    <row r="9" spans="1:8" ht="30" customHeight="1" x14ac:dyDescent="0.3">
      <c r="A9" s="40" t="s">
        <v>16</v>
      </c>
      <c r="B9" s="55"/>
      <c r="C9" s="56"/>
      <c r="D9" s="29"/>
      <c r="E9" s="56"/>
      <c r="F9" s="56"/>
      <c r="G9" s="38">
        <f>SUM(B9:F9)</f>
        <v>0</v>
      </c>
    </row>
    <row r="10" spans="1:8" ht="28.8" x14ac:dyDescent="0.3">
      <c r="A10" s="41" t="s">
        <v>24</v>
      </c>
      <c r="B10" s="30">
        <v>10</v>
      </c>
      <c r="C10" s="30">
        <v>2</v>
      </c>
      <c r="D10" s="69"/>
      <c r="E10" s="30">
        <v>16</v>
      </c>
      <c r="F10" s="56"/>
      <c r="G10" s="38">
        <f>SUM(B10:F10)</f>
        <v>28</v>
      </c>
    </row>
    <row r="11" spans="1:8" ht="30" customHeight="1" x14ac:dyDescent="0.3">
      <c r="A11" s="42" t="s">
        <v>10</v>
      </c>
      <c r="B11" s="43">
        <f>B7-B10</f>
        <v>55</v>
      </c>
      <c r="C11" s="43">
        <f>C7-C10</f>
        <v>16</v>
      </c>
      <c r="D11" s="43">
        <f>D7+D8+D9-D10</f>
        <v>4</v>
      </c>
      <c r="E11" s="43">
        <f>E7-E10</f>
        <v>52</v>
      </c>
      <c r="F11" s="43">
        <f t="shared" ref="F11" si="0">SUM(F7:F10)</f>
        <v>0</v>
      </c>
      <c r="G11" s="43">
        <f>SUM(B11:F11)</f>
        <v>127</v>
      </c>
    </row>
    <row r="12" spans="1:8" x14ac:dyDescent="0.3">
      <c r="A12" s="33"/>
      <c r="B12" s="33"/>
      <c r="C12" s="33"/>
      <c r="D12" s="33"/>
      <c r="E12" s="33"/>
      <c r="F12" s="33"/>
      <c r="G12" s="33"/>
    </row>
    <row r="13" spans="1:8" ht="15.6" x14ac:dyDescent="0.3">
      <c r="A13" s="35" t="s">
        <v>36</v>
      </c>
      <c r="B13" s="44"/>
      <c r="C13" s="44"/>
      <c r="D13" s="44"/>
      <c r="E13" s="44"/>
      <c r="F13" s="44"/>
      <c r="G13" s="44"/>
      <c r="H13" s="19"/>
    </row>
    <row r="14" spans="1:8" x14ac:dyDescent="0.3">
      <c r="A14" s="44"/>
      <c r="B14" s="44"/>
      <c r="C14" s="44"/>
      <c r="D14" s="44"/>
      <c r="E14" s="44"/>
      <c r="F14" s="44"/>
      <c r="G14" s="44"/>
    </row>
    <row r="15" spans="1:8" ht="20.100000000000001" customHeight="1" x14ac:dyDescent="0.3">
      <c r="A15" s="44"/>
      <c r="B15" s="45" t="s">
        <v>19</v>
      </c>
      <c r="C15" s="45" t="s">
        <v>20</v>
      </c>
      <c r="D15" s="45" t="s">
        <v>21</v>
      </c>
      <c r="E15" s="45" t="s">
        <v>22</v>
      </c>
      <c r="F15" s="46" t="s">
        <v>9</v>
      </c>
      <c r="G15" s="46" t="s">
        <v>7</v>
      </c>
    </row>
    <row r="16" spans="1:8" ht="30" customHeight="1" x14ac:dyDescent="0.3">
      <c r="A16" s="41" t="s">
        <v>28</v>
      </c>
      <c r="B16" s="31">
        <v>6</v>
      </c>
      <c r="C16" s="31">
        <v>0</v>
      </c>
      <c r="D16" s="31">
        <v>5</v>
      </c>
      <c r="E16" s="31">
        <v>5</v>
      </c>
      <c r="F16" s="47"/>
      <c r="G16" s="46">
        <f>SUM(B16:F16)</f>
        <v>16</v>
      </c>
    </row>
    <row r="17" spans="1:8" ht="30" customHeight="1" x14ac:dyDescent="0.3">
      <c r="A17" s="41" t="s">
        <v>27</v>
      </c>
      <c r="B17" s="31">
        <v>3</v>
      </c>
      <c r="C17" s="31">
        <v>0</v>
      </c>
      <c r="D17" s="31">
        <v>1</v>
      </c>
      <c r="E17" s="31">
        <v>0</v>
      </c>
      <c r="F17" s="47"/>
      <c r="G17" s="46">
        <f>SUM(B17:F17)</f>
        <v>4</v>
      </c>
    </row>
    <row r="18" spans="1:8" ht="30" customHeight="1" x14ac:dyDescent="0.3">
      <c r="A18" s="41" t="s">
        <v>29</v>
      </c>
      <c r="B18" s="31">
        <v>0</v>
      </c>
      <c r="C18" s="31">
        <v>0</v>
      </c>
      <c r="D18" s="31">
        <v>0</v>
      </c>
      <c r="E18" s="31">
        <v>0</v>
      </c>
      <c r="F18" s="47"/>
      <c r="G18" s="46">
        <f>SUM(B18:F18)</f>
        <v>0</v>
      </c>
    </row>
    <row r="19" spans="1:8" ht="28.8" x14ac:dyDescent="0.3">
      <c r="A19" s="41" t="s">
        <v>25</v>
      </c>
      <c r="B19" s="32">
        <v>0</v>
      </c>
      <c r="C19" s="32">
        <v>0</v>
      </c>
      <c r="D19" s="32">
        <v>2</v>
      </c>
      <c r="E19" s="32">
        <v>1</v>
      </c>
      <c r="F19" s="47"/>
      <c r="G19" s="46">
        <v>0</v>
      </c>
    </row>
    <row r="20" spans="1:8" ht="30" customHeight="1" x14ac:dyDescent="0.3">
      <c r="A20" s="48" t="s">
        <v>2</v>
      </c>
      <c r="B20" s="49">
        <f>B16+B17+B18-B19</f>
        <v>9</v>
      </c>
      <c r="C20" s="49">
        <f>C16+C17+C18-C19</f>
        <v>0</v>
      </c>
      <c r="D20" s="49">
        <f>D16+D17+D18-D19</f>
        <v>4</v>
      </c>
      <c r="E20" s="49">
        <f>E16+E17+E18-E19</f>
        <v>4</v>
      </c>
      <c r="F20" s="47"/>
      <c r="G20" s="49">
        <f>SUM(B20:F20)</f>
        <v>17</v>
      </c>
    </row>
    <row r="21" spans="1:8" ht="35.25" customHeight="1" x14ac:dyDescent="0.3">
      <c r="A21" s="36"/>
      <c r="B21" s="36"/>
      <c r="C21" s="33"/>
      <c r="D21" s="33"/>
      <c r="E21" s="33"/>
      <c r="F21" s="33"/>
      <c r="G21" s="33"/>
    </row>
    <row r="22" spans="1:8" ht="35.25" customHeight="1" x14ac:dyDescent="0.3">
      <c r="A22" s="36"/>
      <c r="B22" s="36"/>
      <c r="C22" s="33"/>
      <c r="D22" s="33"/>
      <c r="E22" s="33"/>
      <c r="F22" s="33"/>
      <c r="G22" s="33"/>
      <c r="H22" s="20"/>
    </row>
    <row r="23" spans="1:8" ht="15.6" x14ac:dyDescent="0.3">
      <c r="A23" s="51" t="s">
        <v>30</v>
      </c>
      <c r="B23" s="44"/>
      <c r="C23" s="44"/>
      <c r="D23" s="44"/>
      <c r="E23" s="44"/>
      <c r="F23" s="44"/>
      <c r="G23" s="33"/>
      <c r="H23" s="19"/>
    </row>
    <row r="24" spans="1:8" x14ac:dyDescent="0.3">
      <c r="A24" s="44"/>
      <c r="B24" s="44"/>
      <c r="C24" s="44"/>
      <c r="D24" s="44"/>
      <c r="E24" s="44"/>
      <c r="F24" s="44"/>
      <c r="G24" s="33"/>
    </row>
    <row r="25" spans="1:8" ht="20.100000000000001" customHeight="1" x14ac:dyDescent="0.3">
      <c r="A25" s="44"/>
      <c r="B25" s="45" t="s">
        <v>3</v>
      </c>
      <c r="C25" s="45" t="s">
        <v>4</v>
      </c>
      <c r="D25" s="45" t="s">
        <v>5</v>
      </c>
      <c r="E25" s="45" t="s">
        <v>6</v>
      </c>
      <c r="F25" s="46" t="s">
        <v>7</v>
      </c>
      <c r="G25" s="33"/>
    </row>
    <row r="26" spans="1:8" ht="30" customHeight="1" x14ac:dyDescent="0.3">
      <c r="A26" s="41" t="s">
        <v>33</v>
      </c>
      <c r="B26" s="28">
        <v>0</v>
      </c>
      <c r="C26" s="28">
        <v>0</v>
      </c>
      <c r="D26" s="28">
        <v>0</v>
      </c>
      <c r="E26" s="28">
        <v>0</v>
      </c>
      <c r="F26" s="54">
        <f>SUM(B26:E26)</f>
        <v>0</v>
      </c>
      <c r="G26" s="33"/>
    </row>
    <row r="27" spans="1:8" ht="30" customHeight="1" x14ac:dyDescent="0.3">
      <c r="A27" s="52" t="s">
        <v>2</v>
      </c>
      <c r="B27" s="50">
        <f>SUM(B26:B26)</f>
        <v>0</v>
      </c>
      <c r="C27" s="50">
        <f>SUM(C26:C26)</f>
        <v>0</v>
      </c>
      <c r="D27" s="50">
        <f>SUM(D26:D26)</f>
        <v>0</v>
      </c>
      <c r="E27" s="50">
        <f>SUM(E26:E26)</f>
        <v>0</v>
      </c>
      <c r="F27" s="50">
        <f>SUM(B27:E27)</f>
        <v>0</v>
      </c>
      <c r="G27" s="33"/>
    </row>
    <row r="28" spans="1:8" x14ac:dyDescent="0.3">
      <c r="A28" s="33"/>
      <c r="B28" s="33"/>
      <c r="C28" s="33"/>
      <c r="D28" s="33"/>
      <c r="E28" s="33"/>
      <c r="F28" s="33"/>
      <c r="G28" s="33"/>
    </row>
    <row r="29" spans="1:8" x14ac:dyDescent="0.3">
      <c r="A29" s="53" t="s">
        <v>8</v>
      </c>
      <c r="B29" s="33"/>
      <c r="C29" s="33"/>
      <c r="D29" s="33"/>
      <c r="E29" s="33"/>
      <c r="F29" s="33"/>
      <c r="G29" s="33"/>
    </row>
  </sheetData>
  <mergeCells count="3">
    <mergeCell ref="A4:G4"/>
    <mergeCell ref="A1:G1"/>
    <mergeCell ref="B2:G2"/>
  </mergeCells>
  <pageMargins left="0.7" right="0.7" top="0.75" bottom="0.75" header="0.3" footer="0.3"/>
  <pageSetup paperSize="9" scale="66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9"/>
  <sheetViews>
    <sheetView zoomScaleNormal="100" zoomScaleSheetLayoutView="85" workbookViewId="0">
      <selection activeCell="H10" sqref="H10"/>
    </sheetView>
  </sheetViews>
  <sheetFormatPr baseColWidth="10" defaultRowHeight="14.4" x14ac:dyDescent="0.3"/>
  <cols>
    <col min="1" max="1" width="22.44140625" customWidth="1"/>
    <col min="2" max="2" width="16.33203125" customWidth="1"/>
    <col min="3" max="3" width="15.6640625" customWidth="1"/>
    <col min="4" max="4" width="16.109375" customWidth="1"/>
    <col min="5" max="5" width="14.88671875" customWidth="1"/>
    <col min="6" max="6" width="16.109375" customWidth="1"/>
    <col min="7" max="7" width="14.44140625" customWidth="1"/>
    <col min="8" max="8" width="50.5546875" customWidth="1"/>
  </cols>
  <sheetData>
    <row r="1" spans="1:8" ht="40.5" customHeight="1" x14ac:dyDescent="0.3">
      <c r="A1" s="72" t="s">
        <v>0</v>
      </c>
      <c r="B1" s="72"/>
      <c r="C1" s="72"/>
      <c r="D1" s="72"/>
      <c r="E1" s="72"/>
      <c r="F1" s="72"/>
      <c r="G1" s="72"/>
      <c r="H1" s="25"/>
    </row>
    <row r="2" spans="1:8" ht="21" x14ac:dyDescent="0.4">
      <c r="A2" s="57" t="s">
        <v>32</v>
      </c>
      <c r="B2" s="73">
        <v>43756</v>
      </c>
      <c r="C2" s="74"/>
      <c r="D2" s="74"/>
      <c r="E2" s="74"/>
      <c r="F2" s="74"/>
      <c r="G2" s="74"/>
      <c r="H2" s="27"/>
    </row>
    <row r="3" spans="1:8" ht="18.75" customHeight="1" x14ac:dyDescent="0.3">
      <c r="A3" s="33"/>
      <c r="B3" s="33"/>
      <c r="C3" s="33"/>
      <c r="D3" s="33"/>
      <c r="E3" s="33"/>
      <c r="F3" s="33"/>
      <c r="G3" s="33"/>
    </row>
    <row r="4" spans="1:8" ht="18" x14ac:dyDescent="0.35">
      <c r="A4" s="71" t="s">
        <v>49</v>
      </c>
      <c r="B4" s="71"/>
      <c r="C4" s="71"/>
      <c r="D4" s="71"/>
      <c r="E4" s="71"/>
      <c r="F4" s="71"/>
      <c r="G4" s="71"/>
    </row>
    <row r="5" spans="1:8" x14ac:dyDescent="0.3">
      <c r="A5" s="33"/>
      <c r="B5" s="33"/>
      <c r="C5" s="33"/>
      <c r="D5" s="33"/>
      <c r="E5" s="33"/>
      <c r="F5" s="33"/>
      <c r="G5" s="33"/>
    </row>
    <row r="6" spans="1:8" ht="20.100000000000001" customHeight="1" x14ac:dyDescent="0.3">
      <c r="A6" s="37"/>
      <c r="B6" s="7" t="s">
        <v>19</v>
      </c>
      <c r="C6" s="7" t="s">
        <v>20</v>
      </c>
      <c r="D6" s="7" t="s">
        <v>21</v>
      </c>
      <c r="E6" s="7" t="s">
        <v>22</v>
      </c>
      <c r="F6" s="38" t="s">
        <v>9</v>
      </c>
      <c r="G6" s="38" t="s">
        <v>7</v>
      </c>
    </row>
    <row r="7" spans="1:8" ht="43.2" x14ac:dyDescent="0.3">
      <c r="A7" s="39" t="s">
        <v>26</v>
      </c>
      <c r="B7" s="28">
        <v>62</v>
      </c>
      <c r="C7" s="28">
        <v>19</v>
      </c>
      <c r="D7" s="28">
        <v>2</v>
      </c>
      <c r="E7" s="28">
        <v>76</v>
      </c>
      <c r="F7" s="28">
        <v>0</v>
      </c>
      <c r="G7" s="38">
        <f>SUM(B7:F7)</f>
        <v>159</v>
      </c>
    </row>
    <row r="8" spans="1:8" ht="30" customHeight="1" x14ac:dyDescent="0.3">
      <c r="A8" s="40" t="s">
        <v>11</v>
      </c>
      <c r="B8" s="55"/>
      <c r="C8" s="56"/>
      <c r="D8" s="29">
        <v>0</v>
      </c>
      <c r="E8" s="56"/>
      <c r="F8" s="56"/>
      <c r="G8" s="38">
        <f>SUM(D8:F8)</f>
        <v>0</v>
      </c>
    </row>
    <row r="9" spans="1:8" ht="30" customHeight="1" x14ac:dyDescent="0.3">
      <c r="A9" s="40" t="s">
        <v>16</v>
      </c>
      <c r="B9" s="55"/>
      <c r="C9" s="56"/>
      <c r="D9" s="29">
        <v>0</v>
      </c>
      <c r="E9" s="56"/>
      <c r="F9" s="56"/>
      <c r="G9" s="38">
        <f>SUM(D9:F9)</f>
        <v>0</v>
      </c>
    </row>
    <row r="10" spans="1:8" ht="28.8" x14ac:dyDescent="0.3">
      <c r="A10" s="41" t="s">
        <v>24</v>
      </c>
      <c r="B10" s="30">
        <v>10</v>
      </c>
      <c r="C10" s="30">
        <v>2</v>
      </c>
      <c r="D10" s="69"/>
      <c r="E10" s="30">
        <v>18</v>
      </c>
      <c r="F10" s="56"/>
      <c r="G10" s="38">
        <f>SUM(B10:F10)</f>
        <v>30</v>
      </c>
    </row>
    <row r="11" spans="1:8" ht="30" customHeight="1" x14ac:dyDescent="0.3">
      <c r="A11" s="42" t="s">
        <v>10</v>
      </c>
      <c r="B11" s="43">
        <f>B7-B10</f>
        <v>52</v>
      </c>
      <c r="C11" s="43">
        <f>C7-C10</f>
        <v>17</v>
      </c>
      <c r="D11" s="43">
        <f>D7+D8+D9-D10</f>
        <v>2</v>
      </c>
      <c r="E11" s="43">
        <f>E7-E10</f>
        <v>58</v>
      </c>
      <c r="F11" s="43">
        <f t="shared" ref="F11" si="0">SUM(F7:F10)</f>
        <v>0</v>
      </c>
      <c r="G11" s="43">
        <f>SUM(B11:F11)</f>
        <v>129</v>
      </c>
    </row>
    <row r="12" spans="1:8" x14ac:dyDescent="0.3">
      <c r="A12" s="33"/>
      <c r="B12" s="33"/>
      <c r="C12" s="33"/>
      <c r="D12" s="33"/>
      <c r="E12" s="33"/>
      <c r="F12" s="33"/>
      <c r="G12" s="33"/>
    </row>
    <row r="13" spans="1:8" ht="15.6" x14ac:dyDescent="0.3">
      <c r="A13" s="35" t="s">
        <v>36</v>
      </c>
      <c r="B13" s="44"/>
      <c r="C13" s="44"/>
      <c r="D13" s="44"/>
      <c r="E13" s="44"/>
      <c r="F13" s="44"/>
      <c r="G13" s="44"/>
      <c r="H13" s="19"/>
    </row>
    <row r="14" spans="1:8" x14ac:dyDescent="0.3">
      <c r="A14" s="44"/>
      <c r="B14" s="44"/>
      <c r="C14" s="44"/>
      <c r="D14" s="44"/>
      <c r="E14" s="44"/>
      <c r="F14" s="44"/>
      <c r="G14" s="44"/>
    </row>
    <row r="15" spans="1:8" ht="20.100000000000001" customHeight="1" x14ac:dyDescent="0.3">
      <c r="A15" s="44"/>
      <c r="B15" s="45" t="s">
        <v>19</v>
      </c>
      <c r="C15" s="45" t="s">
        <v>20</v>
      </c>
      <c r="D15" s="45" t="s">
        <v>21</v>
      </c>
      <c r="E15" s="45" t="s">
        <v>22</v>
      </c>
      <c r="F15" s="46" t="s">
        <v>9</v>
      </c>
      <c r="G15" s="46" t="s">
        <v>7</v>
      </c>
    </row>
    <row r="16" spans="1:8" ht="30" customHeight="1" x14ac:dyDescent="0.3">
      <c r="A16" s="41" t="s">
        <v>28</v>
      </c>
      <c r="B16" s="31">
        <v>5</v>
      </c>
      <c r="C16" s="31">
        <v>0</v>
      </c>
      <c r="D16" s="31">
        <v>4</v>
      </c>
      <c r="E16" s="31">
        <v>6</v>
      </c>
      <c r="F16" s="47"/>
      <c r="G16" s="46">
        <f>SUM(B16:F16)</f>
        <v>15</v>
      </c>
    </row>
    <row r="17" spans="1:8" ht="30" customHeight="1" x14ac:dyDescent="0.3">
      <c r="A17" s="41" t="s">
        <v>27</v>
      </c>
      <c r="B17" s="31">
        <v>3</v>
      </c>
      <c r="C17" s="31">
        <v>0</v>
      </c>
      <c r="D17" s="31">
        <v>1</v>
      </c>
      <c r="E17" s="31">
        <v>0</v>
      </c>
      <c r="F17" s="47"/>
      <c r="G17" s="46">
        <f>SUM(B17:F17)</f>
        <v>4</v>
      </c>
    </row>
    <row r="18" spans="1:8" ht="30" customHeight="1" x14ac:dyDescent="0.3">
      <c r="A18" s="41" t="s">
        <v>29</v>
      </c>
      <c r="B18" s="31">
        <v>0</v>
      </c>
      <c r="C18" s="31">
        <v>0</v>
      </c>
      <c r="D18" s="31">
        <v>0</v>
      </c>
      <c r="E18" s="31">
        <v>0</v>
      </c>
      <c r="F18" s="47"/>
      <c r="G18" s="46">
        <f>SUM(B18:F18)</f>
        <v>0</v>
      </c>
    </row>
    <row r="19" spans="1:8" ht="28.8" x14ac:dyDescent="0.3">
      <c r="A19" s="41" t="s">
        <v>25</v>
      </c>
      <c r="B19" s="32">
        <v>0</v>
      </c>
      <c r="C19" s="32">
        <v>0</v>
      </c>
      <c r="D19" s="32">
        <v>2</v>
      </c>
      <c r="E19" s="32">
        <v>1</v>
      </c>
      <c r="F19" s="47"/>
      <c r="G19" s="46">
        <v>0</v>
      </c>
    </row>
    <row r="20" spans="1:8" ht="30" customHeight="1" x14ac:dyDescent="0.3">
      <c r="A20" s="48" t="s">
        <v>2</v>
      </c>
      <c r="B20" s="49">
        <f>B16+B17+B18-B19</f>
        <v>8</v>
      </c>
      <c r="C20" s="49">
        <f>C16+C17+C18-C19</f>
        <v>0</v>
      </c>
      <c r="D20" s="49">
        <f>D16+D17+D18-D19</f>
        <v>3</v>
      </c>
      <c r="E20" s="49">
        <f>E16+E17+E18-E19</f>
        <v>5</v>
      </c>
      <c r="F20" s="47"/>
      <c r="G20" s="49">
        <f>SUM(B20:F20)</f>
        <v>16</v>
      </c>
    </row>
    <row r="21" spans="1:8" ht="35.25" customHeight="1" x14ac:dyDescent="0.3">
      <c r="A21" s="36"/>
      <c r="B21" s="36"/>
      <c r="C21" s="33"/>
      <c r="D21" s="33"/>
      <c r="E21" s="33"/>
      <c r="F21" s="33"/>
      <c r="G21" s="33"/>
    </row>
    <row r="22" spans="1:8" ht="35.25" customHeight="1" x14ac:dyDescent="0.3">
      <c r="A22" s="36"/>
      <c r="B22" s="36"/>
      <c r="C22" s="33"/>
      <c r="D22" s="33"/>
      <c r="E22" s="33"/>
      <c r="F22" s="33"/>
      <c r="G22" s="33"/>
      <c r="H22" s="20"/>
    </row>
    <row r="23" spans="1:8" ht="15.6" x14ac:dyDescent="0.3">
      <c r="A23" s="51" t="s">
        <v>30</v>
      </c>
      <c r="B23" s="44"/>
      <c r="C23" s="44"/>
      <c r="D23" s="44"/>
      <c r="E23" s="44"/>
      <c r="F23" s="44"/>
      <c r="G23" s="33"/>
      <c r="H23" s="19"/>
    </row>
    <row r="24" spans="1:8" x14ac:dyDescent="0.3">
      <c r="A24" s="44"/>
      <c r="B24" s="44"/>
      <c r="C24" s="44"/>
      <c r="D24" s="44"/>
      <c r="E24" s="44"/>
      <c r="F24" s="44"/>
      <c r="G24" s="33"/>
    </row>
    <row r="25" spans="1:8" ht="20.100000000000001" customHeight="1" x14ac:dyDescent="0.3">
      <c r="A25" s="44"/>
      <c r="B25" s="45" t="s">
        <v>3</v>
      </c>
      <c r="C25" s="45" t="s">
        <v>4</v>
      </c>
      <c r="D25" s="45" t="s">
        <v>5</v>
      </c>
      <c r="E25" s="45" t="s">
        <v>6</v>
      </c>
      <c r="F25" s="46" t="s">
        <v>7</v>
      </c>
      <c r="G25" s="33"/>
    </row>
    <row r="26" spans="1:8" ht="30" customHeight="1" x14ac:dyDescent="0.3">
      <c r="A26" s="41" t="s">
        <v>33</v>
      </c>
      <c r="B26" s="28">
        <v>0</v>
      </c>
      <c r="C26" s="28">
        <v>0</v>
      </c>
      <c r="D26" s="28">
        <v>0</v>
      </c>
      <c r="E26" s="28">
        <v>0</v>
      </c>
      <c r="F26" s="54">
        <f>SUM(B26:E26)</f>
        <v>0</v>
      </c>
      <c r="G26" s="33"/>
    </row>
    <row r="27" spans="1:8" ht="30" customHeight="1" x14ac:dyDescent="0.3">
      <c r="A27" s="52" t="s">
        <v>2</v>
      </c>
      <c r="B27" s="50">
        <f>SUM(B26:B26)</f>
        <v>0</v>
      </c>
      <c r="C27" s="50">
        <f>SUM(C26:C26)</f>
        <v>0</v>
      </c>
      <c r="D27" s="50">
        <f>SUM(D26:D26)</f>
        <v>0</v>
      </c>
      <c r="E27" s="50">
        <f>SUM(E26:E26)</f>
        <v>0</v>
      </c>
      <c r="F27" s="50">
        <f>SUM(F26:F26)</f>
        <v>0</v>
      </c>
      <c r="G27" s="33"/>
    </row>
    <row r="28" spans="1:8" x14ac:dyDescent="0.3">
      <c r="A28" s="33"/>
      <c r="B28" s="33"/>
      <c r="C28" s="33"/>
      <c r="D28" s="33"/>
      <c r="E28" s="33"/>
      <c r="F28" s="33"/>
      <c r="G28" s="33"/>
    </row>
    <row r="29" spans="1:8" x14ac:dyDescent="0.3">
      <c r="A29" s="53" t="s">
        <v>8</v>
      </c>
      <c r="B29" s="33"/>
      <c r="C29" s="33"/>
      <c r="D29" s="33"/>
      <c r="E29" s="33"/>
      <c r="F29" s="33"/>
      <c r="G29" s="33"/>
    </row>
  </sheetData>
  <mergeCells count="3">
    <mergeCell ref="A4:G4"/>
    <mergeCell ref="A1:G1"/>
    <mergeCell ref="B2:G2"/>
  </mergeCells>
  <pageMargins left="0.7" right="0.7" top="0.75" bottom="0.75" header="0.3" footer="0.3"/>
  <pageSetup paperSize="9" scale="66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26"/>
  <sheetViews>
    <sheetView zoomScaleNormal="100" workbookViewId="0">
      <selection activeCell="L22" sqref="L22"/>
    </sheetView>
  </sheetViews>
  <sheetFormatPr baseColWidth="10" defaultRowHeight="14.4" x14ac:dyDescent="0.3"/>
  <cols>
    <col min="1" max="1" width="12.109375" customWidth="1"/>
    <col min="2" max="8" width="11.6640625" customWidth="1"/>
    <col min="10" max="10" width="3.44140625" customWidth="1"/>
    <col min="11" max="11" width="33.109375" customWidth="1"/>
  </cols>
  <sheetData>
    <row r="1" spans="1:11" ht="49.5" customHeight="1" x14ac:dyDescent="0.3">
      <c r="A1" s="80" t="s">
        <v>46</v>
      </c>
      <c r="B1" s="80"/>
      <c r="C1" s="80"/>
      <c r="D1" s="80"/>
      <c r="E1" s="80"/>
      <c r="F1" s="80"/>
      <c r="G1" s="80"/>
      <c r="H1" s="80"/>
      <c r="I1" s="80"/>
    </row>
    <row r="2" spans="1:11" ht="15.75" customHeight="1" thickBot="1" x14ac:dyDescent="0.35">
      <c r="A2" s="58"/>
      <c r="B2" s="58"/>
      <c r="C2" s="58"/>
      <c r="D2" s="58"/>
      <c r="E2" s="58"/>
      <c r="F2" s="58"/>
      <c r="G2" s="58"/>
      <c r="H2" s="58"/>
      <c r="I2" s="58"/>
    </row>
    <row r="3" spans="1:11" ht="18" x14ac:dyDescent="0.3">
      <c r="A3" s="83" t="s">
        <v>31</v>
      </c>
      <c r="B3" s="84"/>
      <c r="C3" s="84"/>
      <c r="D3" s="85" t="s">
        <v>50</v>
      </c>
      <c r="E3" s="85"/>
      <c r="F3" s="85"/>
      <c r="G3" s="85"/>
      <c r="H3" s="85"/>
      <c r="I3" s="86"/>
      <c r="K3" s="64"/>
    </row>
    <row r="4" spans="1:11" ht="21" customHeight="1" x14ac:dyDescent="0.3">
      <c r="A4" s="87" t="s">
        <v>41</v>
      </c>
      <c r="B4" s="88"/>
      <c r="C4" s="88"/>
      <c r="D4" s="89" t="s">
        <v>51</v>
      </c>
      <c r="E4" s="89"/>
      <c r="F4" s="89"/>
      <c r="G4" s="89"/>
      <c r="H4" s="89"/>
      <c r="I4" s="90"/>
      <c r="K4" s="64"/>
    </row>
    <row r="5" spans="1:11" ht="18.600000000000001" thickBot="1" x14ac:dyDescent="0.35">
      <c r="A5" s="91" t="s">
        <v>34</v>
      </c>
      <c r="B5" s="92"/>
      <c r="C5" s="92"/>
      <c r="D5" s="93">
        <v>43752</v>
      </c>
      <c r="E5" s="94"/>
      <c r="F5" s="60" t="s">
        <v>35</v>
      </c>
      <c r="G5" s="93">
        <v>43756</v>
      </c>
      <c r="H5" s="94"/>
      <c r="I5" s="95"/>
    </row>
    <row r="6" spans="1:11" ht="18" x14ac:dyDescent="0.3">
      <c r="A6" s="61"/>
      <c r="B6" s="61"/>
      <c r="C6" s="61"/>
      <c r="D6" s="62"/>
      <c r="E6" s="62"/>
      <c r="F6" s="68"/>
      <c r="G6" s="62"/>
      <c r="H6" s="62"/>
      <c r="I6" s="62"/>
    </row>
    <row r="7" spans="1:11" ht="15" customHeight="1" thickBot="1" x14ac:dyDescent="0.35">
      <c r="A7" s="33"/>
      <c r="B7" s="33"/>
      <c r="C7" s="33"/>
      <c r="D7" s="33"/>
      <c r="E7" s="33"/>
      <c r="F7" s="33"/>
      <c r="G7" s="33"/>
      <c r="H7" s="33"/>
      <c r="I7" s="33"/>
    </row>
    <row r="8" spans="1:11" ht="18.600000000000001" thickBot="1" x14ac:dyDescent="0.4">
      <c r="A8" s="77" t="s">
        <v>1</v>
      </c>
      <c r="B8" s="78"/>
      <c r="C8" s="78"/>
      <c r="D8" s="78"/>
      <c r="E8" s="78"/>
      <c r="F8" s="78"/>
      <c r="G8" s="78"/>
      <c r="H8" s="78"/>
      <c r="I8" s="79"/>
    </row>
    <row r="9" spans="1:11" x14ac:dyDescent="0.3">
      <c r="A9" s="33"/>
      <c r="B9" s="33"/>
      <c r="C9" s="33"/>
      <c r="D9" s="33"/>
      <c r="E9" s="33"/>
      <c r="F9" s="33"/>
      <c r="G9" s="33"/>
      <c r="H9" s="33"/>
      <c r="I9" s="33"/>
    </row>
    <row r="10" spans="1:11" ht="23.1" customHeight="1" x14ac:dyDescent="0.3">
      <c r="A10" s="34" t="s">
        <v>17</v>
      </c>
      <c r="B10" s="81" t="s">
        <v>12</v>
      </c>
      <c r="C10" s="82"/>
      <c r="D10" s="81" t="s">
        <v>13</v>
      </c>
      <c r="E10" s="82"/>
      <c r="F10" s="81" t="s">
        <v>14</v>
      </c>
      <c r="G10" s="82"/>
      <c r="H10" s="81" t="s">
        <v>15</v>
      </c>
      <c r="I10" s="82"/>
    </row>
    <row r="11" spans="1:11" ht="23.1" customHeight="1" x14ac:dyDescent="0.3">
      <c r="A11" s="34" t="s">
        <v>23</v>
      </c>
      <c r="B11" s="96">
        <f>Lundi!B11</f>
        <v>49</v>
      </c>
      <c r="C11" s="97"/>
      <c r="D11" s="96">
        <f>Mardi!B11</f>
        <v>52</v>
      </c>
      <c r="E11" s="97"/>
      <c r="F11" s="96">
        <f>Jeudi!B11</f>
        <v>55</v>
      </c>
      <c r="G11" s="97"/>
      <c r="H11" s="96">
        <f>Vendredi!B11</f>
        <v>52</v>
      </c>
      <c r="I11" s="97"/>
    </row>
    <row r="12" spans="1:11" ht="23.1" customHeight="1" x14ac:dyDescent="0.3">
      <c r="A12" s="34" t="s">
        <v>20</v>
      </c>
      <c r="B12" s="96">
        <f>Lundi!C11</f>
        <v>15</v>
      </c>
      <c r="C12" s="97"/>
      <c r="D12" s="96">
        <f>Mardi!C11</f>
        <v>17</v>
      </c>
      <c r="E12" s="97"/>
      <c r="F12" s="96">
        <f>Jeudi!C11</f>
        <v>16</v>
      </c>
      <c r="G12" s="97"/>
      <c r="H12" s="96">
        <f>Vendredi!C11</f>
        <v>17</v>
      </c>
      <c r="I12" s="97"/>
    </row>
    <row r="13" spans="1:11" ht="21.75" customHeight="1" x14ac:dyDescent="0.3">
      <c r="A13" s="34" t="s">
        <v>21</v>
      </c>
      <c r="B13" s="96">
        <f>Lundi!D11</f>
        <v>4</v>
      </c>
      <c r="C13" s="97"/>
      <c r="D13" s="96">
        <f>Mardi!D11</f>
        <v>2</v>
      </c>
      <c r="E13" s="97"/>
      <c r="F13" s="96">
        <f>Jeudi!D11</f>
        <v>4</v>
      </c>
      <c r="G13" s="97"/>
      <c r="H13" s="96">
        <f>Vendredi!D11</f>
        <v>2</v>
      </c>
      <c r="I13" s="97"/>
    </row>
    <row r="14" spans="1:11" ht="23.1" customHeight="1" x14ac:dyDescent="0.3">
      <c r="A14" s="34" t="s">
        <v>22</v>
      </c>
      <c r="B14" s="96">
        <f>Lundi!E11</f>
        <v>57</v>
      </c>
      <c r="C14" s="97"/>
      <c r="D14" s="96">
        <f>Mardi!E11</f>
        <v>57</v>
      </c>
      <c r="E14" s="97"/>
      <c r="F14" s="96">
        <f>Jeudi!E11</f>
        <v>52</v>
      </c>
      <c r="G14" s="97"/>
      <c r="H14" s="96">
        <f>Vendredi!E11</f>
        <v>58</v>
      </c>
      <c r="I14" s="97"/>
    </row>
    <row r="15" spans="1:11" ht="23.1" customHeight="1" x14ac:dyDescent="0.3">
      <c r="A15" s="34" t="s">
        <v>2</v>
      </c>
      <c r="B15" s="98">
        <f>SUM(B11:B14)</f>
        <v>125</v>
      </c>
      <c r="C15" s="99"/>
      <c r="D15" s="98">
        <f t="shared" ref="D15" si="0">SUM(D11:D14)</f>
        <v>128</v>
      </c>
      <c r="E15" s="99"/>
      <c r="F15" s="98">
        <f t="shared" ref="F15" si="1">SUM(F11:F14)</f>
        <v>127</v>
      </c>
      <c r="G15" s="99"/>
      <c r="H15" s="98">
        <f t="shared" ref="H15" si="2">SUM(H11:H14)</f>
        <v>129</v>
      </c>
      <c r="I15" s="99"/>
    </row>
    <row r="16" spans="1:11" x14ac:dyDescent="0.3">
      <c r="A16" s="33"/>
      <c r="B16" s="33"/>
      <c r="C16" s="33"/>
      <c r="D16" s="33"/>
      <c r="E16" s="33"/>
      <c r="F16" s="33"/>
      <c r="G16" s="33"/>
      <c r="H16" s="33"/>
      <c r="I16" s="33"/>
    </row>
    <row r="17" spans="1:11" x14ac:dyDescent="0.3">
      <c r="A17" s="36"/>
      <c r="B17" s="36"/>
      <c r="C17" s="36"/>
      <c r="D17" s="36"/>
      <c r="E17" s="36"/>
      <c r="F17" s="36"/>
      <c r="G17" s="36"/>
      <c r="H17" s="36"/>
      <c r="I17" s="33"/>
    </row>
    <row r="18" spans="1:11" ht="15" thickBot="1" x14ac:dyDescent="0.35"/>
    <row r="19" spans="1:11" s="12" customFormat="1" ht="16.2" thickBot="1" x14ac:dyDescent="0.35">
      <c r="A19" s="102" t="s">
        <v>37</v>
      </c>
      <c r="B19" s="103"/>
      <c r="C19" s="103"/>
      <c r="D19" s="103"/>
      <c r="E19" s="103"/>
      <c r="F19" s="103"/>
      <c r="G19" s="103"/>
      <c r="H19" s="103"/>
      <c r="I19" s="104"/>
      <c r="K19" s="21"/>
    </row>
    <row r="20" spans="1:11" x14ac:dyDescent="0.3">
      <c r="A20" s="33"/>
      <c r="B20" s="33"/>
      <c r="C20" s="33"/>
      <c r="D20" s="33"/>
      <c r="E20" s="33"/>
      <c r="F20" s="33"/>
      <c r="G20" s="33"/>
      <c r="H20" s="33"/>
      <c r="I20" s="33"/>
    </row>
    <row r="21" spans="1:11" ht="23.1" customHeight="1" x14ac:dyDescent="0.3">
      <c r="A21" s="34" t="s">
        <v>18</v>
      </c>
      <c r="B21" s="81" t="s">
        <v>12</v>
      </c>
      <c r="C21" s="82"/>
      <c r="D21" s="81" t="s">
        <v>13</v>
      </c>
      <c r="E21" s="82"/>
      <c r="F21" s="81" t="s">
        <v>14</v>
      </c>
      <c r="G21" s="82"/>
      <c r="H21" s="81" t="s">
        <v>15</v>
      </c>
      <c r="I21" s="82"/>
    </row>
    <row r="22" spans="1:11" ht="23.1" customHeight="1" x14ac:dyDescent="0.3">
      <c r="A22" s="34" t="s">
        <v>23</v>
      </c>
      <c r="B22" s="100">
        <f>Lundi!B20+Lundi!B26</f>
        <v>10</v>
      </c>
      <c r="C22" s="101"/>
      <c r="D22" s="100">
        <f>Mardi!B20+Mardi!B26</f>
        <v>8</v>
      </c>
      <c r="E22" s="101"/>
      <c r="F22" s="100">
        <f>Jeudi!B20+Jeudi!B27</f>
        <v>9</v>
      </c>
      <c r="G22" s="101"/>
      <c r="H22" s="100">
        <f>Vendredi!B20+Vendredi!B27</f>
        <v>8</v>
      </c>
      <c r="I22" s="101"/>
    </row>
    <row r="23" spans="1:11" ht="23.1" customHeight="1" x14ac:dyDescent="0.3">
      <c r="A23" s="34" t="s">
        <v>20</v>
      </c>
      <c r="B23" s="100">
        <f>Lundi!C20+Lundi!C26</f>
        <v>0</v>
      </c>
      <c r="C23" s="101"/>
      <c r="D23" s="100">
        <f>Mardi!C20+Mardi!C26</f>
        <v>0</v>
      </c>
      <c r="E23" s="101"/>
      <c r="F23" s="100">
        <f>Jeudi!C20+Jeudi!C27</f>
        <v>0</v>
      </c>
      <c r="G23" s="101"/>
      <c r="H23" s="100">
        <f>Vendredi!C20+Vendredi!C27</f>
        <v>0</v>
      </c>
      <c r="I23" s="101"/>
    </row>
    <row r="24" spans="1:11" ht="23.1" customHeight="1" x14ac:dyDescent="0.3">
      <c r="A24" s="34" t="s">
        <v>21</v>
      </c>
      <c r="B24" s="100">
        <f>Lundi!D20+Lundi!D26</f>
        <v>3</v>
      </c>
      <c r="C24" s="101"/>
      <c r="D24" s="100">
        <f>Mardi!D20+Mardi!D26</f>
        <v>4</v>
      </c>
      <c r="E24" s="101"/>
      <c r="F24" s="100">
        <f>Jeudi!D20+Jeudi!D27</f>
        <v>4</v>
      </c>
      <c r="G24" s="101"/>
      <c r="H24" s="100">
        <f>Vendredi!D20+Vendredi!D27</f>
        <v>3</v>
      </c>
      <c r="I24" s="101"/>
    </row>
    <row r="25" spans="1:11" ht="23.1" customHeight="1" x14ac:dyDescent="0.3">
      <c r="A25" s="34" t="s">
        <v>22</v>
      </c>
      <c r="B25" s="100">
        <f>Lundi!E20+Lundi!E26</f>
        <v>4</v>
      </c>
      <c r="C25" s="101"/>
      <c r="D25" s="100">
        <f>Mardi!E20+Mardi!E26</f>
        <v>4</v>
      </c>
      <c r="E25" s="101"/>
      <c r="F25" s="100">
        <f>Jeudi!E20+Jeudi!E27</f>
        <v>4</v>
      </c>
      <c r="G25" s="101"/>
      <c r="H25" s="100">
        <f>Vendredi!E20+Vendredi!E27</f>
        <v>5</v>
      </c>
      <c r="I25" s="101"/>
    </row>
    <row r="26" spans="1:11" ht="23.1" customHeight="1" x14ac:dyDescent="0.3">
      <c r="A26" s="34" t="s">
        <v>2</v>
      </c>
      <c r="B26" s="98">
        <f>SUM(B22:B25)</f>
        <v>17</v>
      </c>
      <c r="C26" s="99"/>
      <c r="D26" s="98">
        <f>SUM(D22:D25)</f>
        <v>16</v>
      </c>
      <c r="E26" s="99"/>
      <c r="F26" s="98">
        <f>SUM(F22:F25)</f>
        <v>17</v>
      </c>
      <c r="G26" s="99"/>
      <c r="H26" s="98">
        <f>SUM(H22:H25)</f>
        <v>16</v>
      </c>
      <c r="I26" s="99"/>
    </row>
  </sheetData>
  <mergeCells count="58">
    <mergeCell ref="B25:C25"/>
    <mergeCell ref="D25:E25"/>
    <mergeCell ref="F25:G25"/>
    <mergeCell ref="H25:I25"/>
    <mergeCell ref="B26:C26"/>
    <mergeCell ref="D26:E26"/>
    <mergeCell ref="F26:G26"/>
    <mergeCell ref="H26:I26"/>
    <mergeCell ref="B24:C24"/>
    <mergeCell ref="D24:E24"/>
    <mergeCell ref="F24:G24"/>
    <mergeCell ref="H24:I24"/>
    <mergeCell ref="B21:C21"/>
    <mergeCell ref="D21:E21"/>
    <mergeCell ref="F21:G21"/>
    <mergeCell ref="H21:I21"/>
    <mergeCell ref="B22:C22"/>
    <mergeCell ref="D22:E22"/>
    <mergeCell ref="F22:G22"/>
    <mergeCell ref="H22:I22"/>
    <mergeCell ref="H14:I14"/>
    <mergeCell ref="H15:I15"/>
    <mergeCell ref="B23:C23"/>
    <mergeCell ref="D23:E23"/>
    <mergeCell ref="F23:G23"/>
    <mergeCell ref="H23:I23"/>
    <mergeCell ref="B14:C14"/>
    <mergeCell ref="B15:C15"/>
    <mergeCell ref="D14:E14"/>
    <mergeCell ref="D15:E15"/>
    <mergeCell ref="F14:G14"/>
    <mergeCell ref="F15:G15"/>
    <mergeCell ref="A19:I19"/>
    <mergeCell ref="B13:C13"/>
    <mergeCell ref="D13:E13"/>
    <mergeCell ref="F13:G13"/>
    <mergeCell ref="H13:I13"/>
    <mergeCell ref="B11:C11"/>
    <mergeCell ref="B12:C12"/>
    <mergeCell ref="D12:E12"/>
    <mergeCell ref="D11:E11"/>
    <mergeCell ref="F11:G11"/>
    <mergeCell ref="F12:G12"/>
    <mergeCell ref="H11:I11"/>
    <mergeCell ref="H12:I12"/>
    <mergeCell ref="A8:I8"/>
    <mergeCell ref="A1:I1"/>
    <mergeCell ref="B10:C10"/>
    <mergeCell ref="D10:E10"/>
    <mergeCell ref="F10:G10"/>
    <mergeCell ref="H10:I10"/>
    <mergeCell ref="A3:C3"/>
    <mergeCell ref="D3:I3"/>
    <mergeCell ref="A4:C4"/>
    <mergeCell ref="D4:I4"/>
    <mergeCell ref="A5:C5"/>
    <mergeCell ref="D5:E5"/>
    <mergeCell ref="G5:I5"/>
  </mergeCells>
  <printOptions horizontalCentered="1"/>
  <pageMargins left="0.23622047244094491" right="0.23622047244094491" top="0.19685039370078741" bottom="0.35433070866141736" header="0.31496062992125984" footer="0.31496062992125984"/>
  <pageSetup paperSize="9" scale="93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34"/>
  <sheetViews>
    <sheetView topLeftCell="A19" zoomScaleNormal="100" workbookViewId="0">
      <selection activeCell="J20" sqref="J20"/>
    </sheetView>
  </sheetViews>
  <sheetFormatPr baseColWidth="10" defaultRowHeight="14.4" x14ac:dyDescent="0.3"/>
  <cols>
    <col min="2" max="2" width="8.109375" customWidth="1"/>
    <col min="3" max="3" width="9.5546875" customWidth="1"/>
    <col min="4" max="4" width="7.5546875" customWidth="1"/>
    <col min="5" max="5" width="11.109375" customWidth="1"/>
    <col min="6" max="6" width="7.44140625" customWidth="1"/>
    <col min="7" max="7" width="9.44140625" customWidth="1"/>
    <col min="8" max="8" width="7.5546875" bestFit="1" customWidth="1"/>
    <col min="9" max="9" width="9.44140625" customWidth="1"/>
    <col min="10" max="10" width="15.33203125" bestFit="1" customWidth="1"/>
    <col min="11" max="11" width="15.33203125" hidden="1" customWidth="1"/>
  </cols>
  <sheetData>
    <row r="1" spans="1:11" ht="23.25" customHeight="1" x14ac:dyDescent="0.3">
      <c r="A1" s="110" t="s">
        <v>42</v>
      </c>
      <c r="B1" s="110"/>
      <c r="C1" s="110"/>
      <c r="D1" s="110"/>
      <c r="E1" s="110"/>
      <c r="F1" s="110"/>
      <c r="G1" s="110"/>
      <c r="H1" s="110"/>
      <c r="I1" s="110"/>
      <c r="K1" t="s">
        <v>39</v>
      </c>
    </row>
    <row r="2" spans="1:11" ht="12" customHeight="1" x14ac:dyDescent="0.3">
      <c r="A2" s="59"/>
      <c r="B2" s="59"/>
      <c r="C2" s="59"/>
      <c r="D2" s="59"/>
      <c r="E2" s="59"/>
      <c r="F2" s="59"/>
      <c r="G2" s="59"/>
      <c r="H2" s="59"/>
      <c r="I2" s="59"/>
      <c r="K2" s="64">
        <v>4</v>
      </c>
    </row>
    <row r="3" spans="1:11" ht="12" customHeight="1" thickBot="1" x14ac:dyDescent="0.35">
      <c r="A3" s="59"/>
      <c r="B3" s="59"/>
      <c r="C3" s="59"/>
      <c r="D3" s="59"/>
      <c r="E3" s="59"/>
      <c r="F3" s="59"/>
      <c r="G3" s="59"/>
      <c r="H3" s="59"/>
      <c r="I3" s="59"/>
      <c r="K3" s="64">
        <v>3</v>
      </c>
    </row>
    <row r="4" spans="1:11" ht="18" x14ac:dyDescent="0.3">
      <c r="A4" s="83" t="s">
        <v>31</v>
      </c>
      <c r="B4" s="84"/>
      <c r="C4" s="84"/>
      <c r="D4" s="85" t="str">
        <f>IF('Commande ADR'!D3:I3="","",'Commande ADR'!D3:I3)</f>
        <v>Camille Claus</v>
      </c>
      <c r="E4" s="85"/>
      <c r="F4" s="85"/>
      <c r="G4" s="85"/>
      <c r="H4" s="85"/>
      <c r="I4" s="86"/>
      <c r="K4" s="64">
        <v>2</v>
      </c>
    </row>
    <row r="5" spans="1:11" ht="21" customHeight="1" x14ac:dyDescent="0.3">
      <c r="A5" s="87" t="s">
        <v>41</v>
      </c>
      <c r="B5" s="88"/>
      <c r="C5" s="88"/>
      <c r="D5" s="89" t="str">
        <f>IF('Commande ADR'!D4:I4="","",'Commande ADR'!D4:I4)</f>
        <v>KAVAY William</v>
      </c>
      <c r="E5" s="89"/>
      <c r="F5" s="89"/>
      <c r="G5" s="89"/>
      <c r="H5" s="89"/>
      <c r="I5" s="90"/>
      <c r="K5" s="64">
        <v>1</v>
      </c>
    </row>
    <row r="6" spans="1:11" ht="18.600000000000001" thickBot="1" x14ac:dyDescent="0.35">
      <c r="A6" s="91" t="s">
        <v>34</v>
      </c>
      <c r="B6" s="92"/>
      <c r="C6" s="92"/>
      <c r="D6" s="93">
        <v>43387</v>
      </c>
      <c r="E6" s="94"/>
      <c r="F6" s="60" t="s">
        <v>35</v>
      </c>
      <c r="G6" s="93">
        <v>43756</v>
      </c>
      <c r="H6" s="94"/>
      <c r="I6" s="95"/>
    </row>
    <row r="7" spans="1:11" ht="12.75" customHeight="1" x14ac:dyDescent="0.3"/>
    <row r="8" spans="1:11" s="65" customFormat="1" ht="10.199999999999999" x14ac:dyDescent="0.2">
      <c r="A8" s="66" t="s">
        <v>43</v>
      </c>
    </row>
    <row r="9" spans="1:11" s="65" customFormat="1" ht="10.199999999999999" x14ac:dyDescent="0.2">
      <c r="A9" s="67">
        <v>1</v>
      </c>
      <c r="B9" s="65" t="s">
        <v>44</v>
      </c>
    </row>
    <row r="10" spans="1:11" s="65" customFormat="1" ht="10.199999999999999" x14ac:dyDescent="0.2">
      <c r="A10" s="67">
        <v>2</v>
      </c>
      <c r="B10" s="65" t="s">
        <v>48</v>
      </c>
    </row>
    <row r="11" spans="1:11" s="65" customFormat="1" ht="10.199999999999999" x14ac:dyDescent="0.2">
      <c r="A11" s="67">
        <v>3</v>
      </c>
      <c r="B11" s="65" t="s">
        <v>47</v>
      </c>
    </row>
    <row r="12" spans="1:11" s="65" customFormat="1" ht="10.199999999999999" x14ac:dyDescent="0.2">
      <c r="A12" s="67">
        <v>4</v>
      </c>
      <c r="B12" s="65" t="s">
        <v>45</v>
      </c>
    </row>
    <row r="13" spans="1:11" ht="6.75" customHeight="1" x14ac:dyDescent="0.3"/>
    <row r="14" spans="1:11" x14ac:dyDescent="0.3">
      <c r="A14" s="34" t="s">
        <v>40</v>
      </c>
      <c r="B14" s="81" t="s">
        <v>12</v>
      </c>
      <c r="C14" s="82"/>
      <c r="D14" s="81" t="s">
        <v>13</v>
      </c>
      <c r="E14" s="82"/>
      <c r="F14" s="81" t="s">
        <v>14</v>
      </c>
      <c r="G14" s="82"/>
      <c r="H14" s="81" t="s">
        <v>15</v>
      </c>
      <c r="I14" s="82"/>
    </row>
    <row r="15" spans="1:11" s="20" customFormat="1" ht="42" customHeight="1" x14ac:dyDescent="0.3">
      <c r="A15" s="63" t="s">
        <v>38</v>
      </c>
      <c r="B15" s="105">
        <v>3</v>
      </c>
      <c r="C15" s="106"/>
      <c r="D15" s="105">
        <v>1</v>
      </c>
      <c r="E15" s="106"/>
      <c r="F15" s="105">
        <v>2</v>
      </c>
      <c r="G15" s="106"/>
      <c r="H15" s="105">
        <v>4</v>
      </c>
      <c r="I15" s="106"/>
    </row>
    <row r="17" spans="1:9" ht="15" thickBot="1" x14ac:dyDescent="0.35"/>
    <row r="18" spans="1:9" ht="18.600000000000001" thickBot="1" x14ac:dyDescent="0.4">
      <c r="A18" s="77" t="s">
        <v>49</v>
      </c>
      <c r="B18" s="78"/>
      <c r="C18" s="78"/>
      <c r="D18" s="78"/>
      <c r="E18" s="78"/>
      <c r="F18" s="78"/>
      <c r="G18" s="78"/>
      <c r="H18" s="78"/>
      <c r="I18" s="79"/>
    </row>
    <row r="20" spans="1:9" ht="45" customHeight="1" x14ac:dyDescent="0.3">
      <c r="A20" s="34" t="s">
        <v>17</v>
      </c>
      <c r="B20" s="81" t="s">
        <v>12</v>
      </c>
      <c r="C20" s="82"/>
      <c r="D20" s="81" t="s">
        <v>13</v>
      </c>
      <c r="E20" s="82"/>
      <c r="F20" s="81" t="s">
        <v>14</v>
      </c>
      <c r="G20" s="82"/>
      <c r="H20" s="81" t="s">
        <v>15</v>
      </c>
      <c r="I20" s="82"/>
    </row>
    <row r="21" spans="1:9" x14ac:dyDescent="0.3">
      <c r="A21" s="34" t="s">
        <v>23</v>
      </c>
      <c r="B21" s="96">
        <f>IF(B15=$K$2,'Commande ADR'!B11:C11,IF('Suivi facturation'!B15='Suivi facturation'!$K$3,'Commande ADR'!B11:C11+'Commande ADR'!B12:C12,IF('Suivi facturation'!B15=$K$4,'Commande ADR'!B11:C11+'Commande ADR'!B12:C12+'Commande ADR'!B14:C14,IF('Suivi facturation'!B15='Suivi facturation'!$K$5,'Commande ADR'!B11:C11+'Commande ADR'!B12:C12+'Commande ADR'!B13:C13+'Commande ADR'!B14:C14,0))))</f>
        <v>64</v>
      </c>
      <c r="C21" s="97"/>
      <c r="D21" s="96">
        <f>IF(D15=$K$2,'Commande ADR'!D11:E11,IF('Suivi facturation'!D15='Suivi facturation'!$K$3,'Commande ADR'!D11:E11+'Commande ADR'!D12:E12,IF('Suivi facturation'!D15=$K$4,'Commande ADR'!D11:E11+'Commande ADR'!D12:E12+'Commande ADR'!D14:E14,IF('Suivi facturation'!D15='Suivi facturation'!$K$5,'Commande ADR'!D11:E11+'Commande ADR'!D12:E12+'Commande ADR'!D13:E13+'Commande ADR'!D14:E14,0))))</f>
        <v>128</v>
      </c>
      <c r="E21" s="97"/>
      <c r="F21" s="96">
        <f>IF(F15=$K$2,'Commande ADR'!F11:G11,IF('Suivi facturation'!F15='Suivi facturation'!$K$3,'Commande ADR'!F11:G11+'Commande ADR'!F12:G12,IF('Suivi facturation'!F15=$K$4,'Commande ADR'!F11:G11+'Commande ADR'!F12:G12+'Commande ADR'!F14:G14,IF('Suivi facturation'!F15='Suivi facturation'!$K$5,'Commande ADR'!F11:G11+'Commande ADR'!F12:G12+'Commande ADR'!F13:G13+'Commande ADR'!F14:G14,0))))</f>
        <v>123</v>
      </c>
      <c r="G21" s="97"/>
      <c r="H21" s="96">
        <f>IF(H15=$K$2,'Commande ADR'!H11:I11,IF('Suivi facturation'!H15='Suivi facturation'!$K$3,'Commande ADR'!H11:I11+'Commande ADR'!H12:I12,IF('Suivi facturation'!H15=$K$4,'Commande ADR'!H11:I11+'Commande ADR'!H12:I12+'Commande ADR'!H14:I14,IF('Suivi facturation'!H15='Suivi facturation'!$K$5,'Commande ADR'!H11:I11+'Commande ADR'!H12:I12+'Commande ADR'!H13:I13+'Commande ADR'!H14:I14,0))))</f>
        <v>52</v>
      </c>
      <c r="I21" s="97"/>
    </row>
    <row r="22" spans="1:9" x14ac:dyDescent="0.3">
      <c r="A22" s="34" t="s">
        <v>20</v>
      </c>
      <c r="B22" s="96">
        <f>IF(B15=$K$2,'Commande ADR'!B12:C12,0)</f>
        <v>0</v>
      </c>
      <c r="C22" s="97"/>
      <c r="D22" s="96">
        <f>IF(D15=$K$2,'Commande ADR'!D12:E12,0)</f>
        <v>0</v>
      </c>
      <c r="E22" s="97"/>
      <c r="F22" s="96">
        <f>IF(F15=$K$2,'Commande ADR'!F12:G12,0)</f>
        <v>0</v>
      </c>
      <c r="G22" s="97"/>
      <c r="H22" s="96">
        <f>IF(H15=$K$2,'Commande ADR'!H12:I12,0)</f>
        <v>17</v>
      </c>
      <c r="I22" s="97"/>
    </row>
    <row r="23" spans="1:9" x14ac:dyDescent="0.3">
      <c r="A23" s="34" t="s">
        <v>21</v>
      </c>
      <c r="B23" s="96">
        <f>IF(B15=$K$5,0,'Commande ADR'!B13:C13)</f>
        <v>4</v>
      </c>
      <c r="C23" s="97"/>
      <c r="D23" s="96">
        <f>IF(D15=$K$5,0,'Commande ADR'!D13:E13)</f>
        <v>0</v>
      </c>
      <c r="E23" s="97"/>
      <c r="F23" s="96">
        <f>IF(F15=$K$5,0,'Commande ADR'!F13:G13)</f>
        <v>4</v>
      </c>
      <c r="G23" s="97"/>
      <c r="H23" s="96">
        <f>IF(H15=$K$5,0,'Commande ADR'!H13:I13)</f>
        <v>2</v>
      </c>
      <c r="I23" s="97"/>
    </row>
    <row r="24" spans="1:9" x14ac:dyDescent="0.3">
      <c r="A24" s="34" t="s">
        <v>22</v>
      </c>
      <c r="B24" s="96">
        <f>IF(B15=$K$2,'Commande ADR'!B14:C14,IF(B15=$K$3,'Commande ADR'!B14:C14,0))</f>
        <v>57</v>
      </c>
      <c r="C24" s="97"/>
      <c r="D24" s="96">
        <f>IF(D15=$K$2,'Commande ADR'!D14:E14,IF(D15=$K$3,'Commande ADR'!D14:E14,0))</f>
        <v>0</v>
      </c>
      <c r="E24" s="97"/>
      <c r="F24" s="96">
        <f>IF(F15=$K$2,'Commande ADR'!F14:G14,IF(F15=$K$3,'Commande ADR'!F14:G14,0))</f>
        <v>0</v>
      </c>
      <c r="G24" s="97"/>
      <c r="H24" s="96">
        <f>IF(H15=$K$2,'Commande ADR'!H14:I14,IF(H15=$K$3,'Commande ADR'!H14:I14,0))</f>
        <v>58</v>
      </c>
      <c r="I24" s="97"/>
    </row>
    <row r="25" spans="1:9" x14ac:dyDescent="0.3">
      <c r="A25" s="34" t="s">
        <v>2</v>
      </c>
      <c r="B25" s="98">
        <f>SUM(B21:B24)</f>
        <v>125</v>
      </c>
      <c r="C25" s="99"/>
      <c r="D25" s="98">
        <f t="shared" ref="D25" si="0">SUM(D21:D24)</f>
        <v>128</v>
      </c>
      <c r="E25" s="99"/>
      <c r="F25" s="98">
        <f t="shared" ref="F25" si="1">SUM(F21:F24)</f>
        <v>127</v>
      </c>
      <c r="G25" s="99"/>
      <c r="H25" s="98">
        <f t="shared" ref="H25" si="2">SUM(H21:H24)</f>
        <v>129</v>
      </c>
      <c r="I25" s="99"/>
    </row>
    <row r="26" spans="1:9" ht="15" thickBot="1" x14ac:dyDescent="0.35"/>
    <row r="27" spans="1:9" ht="15" thickBot="1" x14ac:dyDescent="0.35">
      <c r="A27" s="107" t="s">
        <v>37</v>
      </c>
      <c r="B27" s="108"/>
      <c r="C27" s="108"/>
      <c r="D27" s="108"/>
      <c r="E27" s="108"/>
      <c r="F27" s="108"/>
      <c r="G27" s="108"/>
      <c r="H27" s="108"/>
      <c r="I27" s="109"/>
    </row>
    <row r="28" spans="1:9" x14ac:dyDescent="0.3">
      <c r="A28" s="33"/>
      <c r="B28" s="33"/>
      <c r="C28" s="33"/>
      <c r="D28" s="33"/>
      <c r="E28" s="33"/>
      <c r="F28" s="33"/>
      <c r="G28" s="33"/>
      <c r="H28" s="33"/>
      <c r="I28" s="33"/>
    </row>
    <row r="29" spans="1:9" x14ac:dyDescent="0.3">
      <c r="A29" s="34" t="s">
        <v>18</v>
      </c>
      <c r="B29" s="81" t="s">
        <v>12</v>
      </c>
      <c r="C29" s="82"/>
      <c r="D29" s="81" t="s">
        <v>13</v>
      </c>
      <c r="E29" s="82"/>
      <c r="F29" s="81" t="s">
        <v>14</v>
      </c>
      <c r="G29" s="82"/>
      <c r="H29" s="81" t="s">
        <v>15</v>
      </c>
      <c r="I29" s="82"/>
    </row>
    <row r="30" spans="1:9" x14ac:dyDescent="0.3">
      <c r="A30" s="34" t="s">
        <v>23</v>
      </c>
      <c r="B30" s="100">
        <f>IF(B15=$K$2,'Commande ADR'!B22:C22,IF(B15=$K$3,'Commande ADR'!B22:C22+'Commande ADR'!B23:C23,IF(B15=$K$4,'Commande ADR'!B22:C22+'Commande ADR'!B23:C23+'Commande ADR'!B25:C25,IF(B15=$K$5,'Commande ADR'!B22:C22+'Commande ADR'!B23:C23+'Commande ADR'!B24:C24+'Commande ADR'!B25:C25,0))))</f>
        <v>10</v>
      </c>
      <c r="C30" s="101"/>
      <c r="D30" s="100">
        <f>IF(D15=$K$2,'Commande ADR'!D22:E22,IF(D15=$K$3,'Commande ADR'!D22:E22+'Commande ADR'!D23:E23,IF(D15=$K$4,'Commande ADR'!D22:E22+'Commande ADR'!D23:E23+'Commande ADR'!D25:E25,IF(D15=$K$5,'Commande ADR'!D22:E22+'Commande ADR'!D23:E23+'Commande ADR'!D24:E24+'Commande ADR'!D25:E25,0))))</f>
        <v>16</v>
      </c>
      <c r="E30" s="101"/>
      <c r="F30" s="100">
        <f>IF(F15=$K$2,'Commande ADR'!F22:G22,IF(F15=$K$3,'Commande ADR'!F22:G22+'Commande ADR'!F23:G23,IF(F15=$K$4,'Commande ADR'!F22:G22+'Commande ADR'!F23:G23+'Commande ADR'!F25:G25,IF(F15=$K$5,'Commande ADR'!F22:G22+'Commande ADR'!F23:G23+'Commande ADR'!F24:G24+'Commande ADR'!F25:G25,0))))</f>
        <v>13</v>
      </c>
      <c r="G30" s="101"/>
      <c r="H30" s="100">
        <f>IF(H15=$K$2,'Commande ADR'!H22:I22,IF(H15=$K$3,'Commande ADR'!H22:I22+'Commande ADR'!H23:I23,IF(H15=$K$4,'Commande ADR'!H22:I22+'Commande ADR'!H23:I23+'Commande ADR'!H25:I25,IF(H15=$K$5,'Commande ADR'!H22:I22+'Commande ADR'!H23:I23+'Commande ADR'!H24:I24+'Commande ADR'!H25:I25,0))))</f>
        <v>8</v>
      </c>
      <c r="I30" s="101"/>
    </row>
    <row r="31" spans="1:9" x14ac:dyDescent="0.3">
      <c r="A31" s="34" t="s">
        <v>20</v>
      </c>
      <c r="B31" s="100">
        <f>IF(B15=$K$2,'Commande ADR'!B23:C23,0)</f>
        <v>0</v>
      </c>
      <c r="C31" s="101"/>
      <c r="D31" s="100">
        <f>IF(D15=$K$2,'Commande ADR'!D23:E23,0)</f>
        <v>0</v>
      </c>
      <c r="E31" s="101"/>
      <c r="F31" s="100">
        <f>IF(F15=$K$2,'Commande ADR'!F23:G23,0)</f>
        <v>0</v>
      </c>
      <c r="G31" s="101"/>
      <c r="H31" s="100">
        <f>IF(H15=$K$2,'Commande ADR'!H23:I23,0)</f>
        <v>0</v>
      </c>
      <c r="I31" s="101"/>
    </row>
    <row r="32" spans="1:9" x14ac:dyDescent="0.3">
      <c r="A32" s="34" t="s">
        <v>21</v>
      </c>
      <c r="B32" s="100">
        <f>IF(B15=$K$5,0,'Commande ADR'!B24:C24)</f>
        <v>3</v>
      </c>
      <c r="C32" s="101"/>
      <c r="D32" s="100">
        <f>IF(D15=$K$5,0,'Commande ADR'!D24:E24)</f>
        <v>0</v>
      </c>
      <c r="E32" s="101"/>
      <c r="F32" s="100">
        <f>IF(F15=$K$5,0,'Commande ADR'!F24:G24)</f>
        <v>4</v>
      </c>
      <c r="G32" s="101"/>
      <c r="H32" s="100">
        <f>IF(H15=$K$5,0,'Commande ADR'!H24:I24)</f>
        <v>3</v>
      </c>
      <c r="I32" s="101"/>
    </row>
    <row r="33" spans="1:9" x14ac:dyDescent="0.3">
      <c r="A33" s="34" t="s">
        <v>22</v>
      </c>
      <c r="B33" s="100">
        <f>IF(B15=$K$2,'Commande ADR'!B25:C25,IF(B15=$K$3,'Commande ADR'!B25:C25,0))</f>
        <v>4</v>
      </c>
      <c r="C33" s="101"/>
      <c r="D33" s="100">
        <f>IF(D15=$K$2,'Commande ADR'!D25:E25,IF(D15=$K$3,'Commande ADR'!D25:E25,0))</f>
        <v>0</v>
      </c>
      <c r="E33" s="101"/>
      <c r="F33" s="100">
        <f>IF(F15=$K$2,'Commande ADR'!F25:G25,IF(F15=$K$3,'Commande ADR'!F25:G25,0))</f>
        <v>0</v>
      </c>
      <c r="G33" s="101"/>
      <c r="H33" s="100">
        <f>IF(H15=$K$2,'Commande ADR'!H25:I25,IF(H15=$K$3,'Commande ADR'!H25:I25,0))</f>
        <v>5</v>
      </c>
      <c r="I33" s="101"/>
    </row>
    <row r="34" spans="1:9" x14ac:dyDescent="0.3">
      <c r="A34" s="34" t="s">
        <v>2</v>
      </c>
      <c r="B34" s="98">
        <f>SUM(B30:C33)</f>
        <v>17</v>
      </c>
      <c r="C34" s="99"/>
      <c r="D34" s="98">
        <f t="shared" ref="D34" si="3">SUM(D30:E33)</f>
        <v>16</v>
      </c>
      <c r="E34" s="99"/>
      <c r="F34" s="98">
        <f t="shared" ref="F34" si="4">SUM(F30:G33)</f>
        <v>17</v>
      </c>
      <c r="G34" s="99"/>
      <c r="H34" s="98">
        <f t="shared" ref="H34" si="5">SUM(H30:I33)</f>
        <v>16</v>
      </c>
      <c r="I34" s="99"/>
    </row>
  </sheetData>
  <mergeCells count="66">
    <mergeCell ref="A6:C6"/>
    <mergeCell ref="D6:E6"/>
    <mergeCell ref="G6:I6"/>
    <mergeCell ref="A1:I1"/>
    <mergeCell ref="A4:C4"/>
    <mergeCell ref="D4:I4"/>
    <mergeCell ref="A5:C5"/>
    <mergeCell ref="D5:I5"/>
    <mergeCell ref="D32:E32"/>
    <mergeCell ref="F32:G32"/>
    <mergeCell ref="H32:I32"/>
    <mergeCell ref="B34:C34"/>
    <mergeCell ref="D34:E34"/>
    <mergeCell ref="F34:G34"/>
    <mergeCell ref="H34:I34"/>
    <mergeCell ref="B32:C32"/>
    <mergeCell ref="B33:C33"/>
    <mergeCell ref="D33:E33"/>
    <mergeCell ref="F33:G33"/>
    <mergeCell ref="H33:I33"/>
    <mergeCell ref="B31:C31"/>
    <mergeCell ref="D23:E23"/>
    <mergeCell ref="D24:E24"/>
    <mergeCell ref="D25:E25"/>
    <mergeCell ref="D31:E31"/>
    <mergeCell ref="A27:I27"/>
    <mergeCell ref="B30:C30"/>
    <mergeCell ref="D30:E30"/>
    <mergeCell ref="F30:G30"/>
    <mergeCell ref="B29:C29"/>
    <mergeCell ref="D29:E29"/>
    <mergeCell ref="F29:G29"/>
    <mergeCell ref="H29:I29"/>
    <mergeCell ref="H30:I30"/>
    <mergeCell ref="F31:G31"/>
    <mergeCell ref="H31:I31"/>
    <mergeCell ref="B14:C14"/>
    <mergeCell ref="D14:E14"/>
    <mergeCell ref="F14:G14"/>
    <mergeCell ref="H14:I14"/>
    <mergeCell ref="B15:C15"/>
    <mergeCell ref="D15:E15"/>
    <mergeCell ref="F15:G15"/>
    <mergeCell ref="H15:I15"/>
    <mergeCell ref="F22:G22"/>
    <mergeCell ref="F23:G23"/>
    <mergeCell ref="F24:G24"/>
    <mergeCell ref="F25:G25"/>
    <mergeCell ref="A18:I18"/>
    <mergeCell ref="B22:C22"/>
    <mergeCell ref="B23:C23"/>
    <mergeCell ref="B24:C24"/>
    <mergeCell ref="B25:C25"/>
    <mergeCell ref="D22:E22"/>
    <mergeCell ref="H22:I22"/>
    <mergeCell ref="H23:I23"/>
    <mergeCell ref="H24:I24"/>
    <mergeCell ref="H25:I25"/>
    <mergeCell ref="B20:C20"/>
    <mergeCell ref="D20:E20"/>
    <mergeCell ref="F20:G20"/>
    <mergeCell ref="H20:I20"/>
    <mergeCell ref="B21:C21"/>
    <mergeCell ref="D21:E21"/>
    <mergeCell ref="H21:I21"/>
    <mergeCell ref="F21:G21"/>
  </mergeCells>
  <dataValidations count="2">
    <dataValidation type="list" showInputMessage="1" showErrorMessage="1" sqref="B15:C15">
      <formula1>$K$1:$K$5</formula1>
    </dataValidation>
    <dataValidation type="list" allowBlank="1" showInputMessage="1" showErrorMessage="1" sqref="D15:I15">
      <formula1>$K$1:$K$5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6</vt:i4>
      </vt:variant>
      <vt:variant>
        <vt:lpstr>Plages nommées</vt:lpstr>
      </vt:variant>
      <vt:variant>
        <vt:i4>5</vt:i4>
      </vt:variant>
    </vt:vector>
  </HeadingPairs>
  <TitlesOfParts>
    <vt:vector size="11" baseType="lpstr">
      <vt:lpstr>Lundi</vt:lpstr>
      <vt:lpstr>Mardi</vt:lpstr>
      <vt:lpstr>Jeudi</vt:lpstr>
      <vt:lpstr>Vendredi</vt:lpstr>
      <vt:lpstr>Commande ADR</vt:lpstr>
      <vt:lpstr>Suivi facturation</vt:lpstr>
      <vt:lpstr>'Commande ADR'!Zone_d_impression</vt:lpstr>
      <vt:lpstr>Jeudi!Zone_d_impression</vt:lpstr>
      <vt:lpstr>Lundi!Zone_d_impression</vt:lpstr>
      <vt:lpstr>Mardi!Zone_d_impression</vt:lpstr>
      <vt:lpstr>Vendredi!Zone_d_impression</vt:lpstr>
    </vt:vector>
  </TitlesOfParts>
  <Company>CUS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COLIN Céline</dc:creator>
  <cp:lastModifiedBy>BOEHLER Patricia (Education)</cp:lastModifiedBy>
  <cp:lastPrinted>2019-10-03T07:32:28Z</cp:lastPrinted>
  <dcterms:created xsi:type="dcterms:W3CDTF">2017-11-16T16:45:55Z</dcterms:created>
  <dcterms:modified xsi:type="dcterms:W3CDTF">2019-10-10T08:47:00Z</dcterms:modified>
</cp:coreProperties>
</file>